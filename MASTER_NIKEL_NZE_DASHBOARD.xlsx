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 Dataset" sheetId="2" state="visible" r:id="rId2"/>
    <sheet xmlns:r="http://schemas.openxmlformats.org/officeDocument/2006/relationships" name="Tren Emisi 2020-2050" sheetId="3" state="visible" r:id="rId3"/>
    <sheet xmlns:r="http://schemas.openxmlformats.org/officeDocument/2006/relationships" name="Agregasi Provinsi" sheetId="4" state="visible" r:id="rId4"/>
    <sheet xmlns:r="http://schemas.openxmlformats.org/officeDocument/2006/relationships" name="Dampak Sektoral" sheetId="5" state="visible" r:id="rId5"/>
    <sheet xmlns:r="http://schemas.openxmlformats.org/officeDocument/2006/relationships" name="Strategi NZE" sheetId="6" state="visible" r:id="rId6"/>
    <sheet xmlns:r="http://schemas.openxmlformats.org/officeDocument/2006/relationships" name="Risiko &amp; SHAP" sheetId="7" state="visible" r:id="rId7"/>
    <sheet xmlns:r="http://schemas.openxmlformats.org/officeDocument/2006/relationships" name="Panduan &amp; Metodologi" sheetId="8" state="visible" r:id="rId8"/>
  </sheets>
  <definedNames>
    <definedName name="_xlnm._FilterDatabase" localSheetId="1" hidden="1">'Master Dataset'!$B$2:$V$2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\%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7a7974"/>
      <sz val="9"/>
    </font>
    <font>
      <name val="Calibri"/>
      <b val="1"/>
      <color rgb="00FFFFFF"/>
      <sz val="17"/>
    </font>
    <font>
      <name val="Calibri"/>
      <b val="1"/>
      <color rgb="000F3638"/>
      <sz val="11"/>
    </font>
    <font>
      <name val="Calibri"/>
      <b val="1"/>
      <color rgb="00FFFFFF"/>
      <sz val="9"/>
    </font>
    <font>
      <name val="Calibri"/>
      <color rgb="0028251D"/>
      <sz val="9"/>
    </font>
    <font>
      <name val="Calibri"/>
      <b val="1"/>
      <color rgb="00437A22"/>
      <sz val="9"/>
    </font>
    <font>
      <name val="Calibri"/>
      <b val="1"/>
      <color rgb="00FFFFFF"/>
      <sz val="11"/>
    </font>
    <font>
      <name val="Calibri"/>
      <i val="1"/>
      <color rgb="007a7974"/>
      <sz val="8"/>
    </font>
    <font>
      <name val="Calibri"/>
      <b val="1"/>
      <color rgb="00FFFFFF"/>
      <sz val="13"/>
    </font>
    <font>
      <name val="Calibri"/>
      <b val="1"/>
      <color rgb="00800000"/>
      <sz val="9"/>
    </font>
    <font>
      <name val="Calibri"/>
      <color rgb="00964219"/>
      <sz val="9"/>
    </font>
    <font>
      <name val="Calibri"/>
      <color rgb="00006494"/>
      <sz val="9"/>
    </font>
    <font>
      <name val="Calibri"/>
      <color rgb="00437A22"/>
      <sz val="9"/>
    </font>
    <font>
      <name val="Calibri"/>
      <b val="1"/>
      <sz val="9"/>
    </font>
    <font>
      <name val="Calibri"/>
      <b val="1"/>
      <color rgb="000F3638"/>
      <sz val="10"/>
    </font>
    <font>
      <name val="Calibri"/>
      <color rgb="001a5c10"/>
      <sz val="9"/>
    </font>
    <font>
      <name val="Calibri"/>
      <b val="1"/>
      <color rgb="00D19900"/>
      <sz val="9"/>
    </font>
    <font>
      <name val="Calibri"/>
      <b val="1"/>
      <color rgb="00DA7101"/>
      <sz val="9"/>
    </font>
    <font>
      <name val="Calibri"/>
      <i val="1"/>
      <color rgb="000C4E54"/>
      <sz val="9"/>
    </font>
    <font>
      <name val="Calibri"/>
      <b val="1"/>
      <color rgb="0028251D"/>
      <sz val="10"/>
    </font>
    <font>
      <name val="Calibri"/>
      <color rgb="0028251D"/>
      <sz val="10"/>
    </font>
  </fonts>
  <fills count="17">
    <fill>
      <patternFill/>
    </fill>
    <fill>
      <patternFill patternType="gray125"/>
    </fill>
    <fill>
      <patternFill patternType="solid">
        <fgColor rgb="000F3638"/>
      </patternFill>
    </fill>
    <fill>
      <patternFill patternType="solid">
        <fgColor rgb="0001696F"/>
      </patternFill>
    </fill>
    <fill>
      <patternFill patternType="solid">
        <fgColor rgb="00A12C7B"/>
      </patternFill>
    </fill>
    <fill>
      <patternFill patternType="solid">
        <fgColor rgb="00DA7101"/>
      </patternFill>
    </fill>
    <fill>
      <patternFill patternType="solid">
        <fgColor rgb="00437A22"/>
      </patternFill>
    </fill>
    <fill>
      <patternFill patternType="solid">
        <fgColor rgb="00006494"/>
      </patternFill>
    </fill>
    <fill>
      <patternFill patternType="solid">
        <fgColor rgb="00CEDCD8"/>
      </patternFill>
    </fill>
    <fill>
      <patternFill patternType="solid">
        <fgColor rgb="00F3F0EC"/>
      </patternFill>
    </fill>
    <fill>
      <patternFill patternType="solid">
        <fgColor rgb="00FFFFFF"/>
      </patternFill>
    </fill>
    <fill>
      <patternFill patternType="solid">
        <fgColor rgb="000C4E54"/>
      </patternFill>
    </fill>
    <fill>
      <patternFill patternType="solid">
        <fgColor rgb="00FFCCCC"/>
      </patternFill>
    </fill>
    <fill>
      <patternFill patternType="solid">
        <fgColor rgb="00FFE6CC"/>
      </patternFill>
    </fill>
    <fill>
      <patternFill patternType="solid">
        <fgColor rgb="00CCE8FF"/>
      </patternFill>
    </fill>
    <fill>
      <patternFill patternType="solid">
        <fgColor rgb="00D4EFC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 indent="1"/>
    </xf>
    <xf numFmtId="0" fontId="6" fillId="1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9" fillId="0" borderId="0" pivotButton="0" quotePrefix="0" xfId="0"/>
    <xf numFmtId="0" fontId="15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3" fontId="16" fillId="8" borderId="1" applyAlignment="1" pivotButton="0" quotePrefix="0" xfId="0">
      <alignment horizontal="center" vertical="center"/>
    </xf>
    <xf numFmtId="165" fontId="16" fillId="8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 indent="1"/>
    </xf>
    <xf numFmtId="3" fontId="11" fillId="12" borderId="1" applyAlignment="1" pivotButton="0" quotePrefix="0" xfId="0">
      <alignment horizontal="center" vertical="center"/>
    </xf>
    <xf numFmtId="3" fontId="17" fillId="15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 indent="1"/>
    </xf>
    <xf numFmtId="166" fontId="6" fillId="9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indent="1"/>
    </xf>
    <xf numFmtId="166" fontId="6" fillId="10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center" indent="1"/>
    </xf>
    <xf numFmtId="0" fontId="19" fillId="13" borderId="1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2" fontId="6" fillId="9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 indent="1"/>
    </xf>
    <xf numFmtId="0" fontId="22" fillId="10" borderId="1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Proyeksi Emisi Industri Nikel Indonesia (MtCO₂/thn)</a:t>
            </a:r>
          </a:p>
        </rich>
      </tx>
    </title>
    <plotArea>
      <lineChart>
        <grouping val="standard"/>
        <ser>
          <idx val="0"/>
          <order val="0"/>
          <tx>
            <strRef>
              <f>'Tren Emisi 2020-2050'!C2</f>
            </strRef>
          </tx>
          <spPr>
            <a:ln xmlns:a="http://schemas.openxmlformats.org/drawingml/2006/main" w="1275.75">
              <a:solidFill>
                <a:srgbClr val="F869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Emisi 2020-2050'!$B$3:$B$33</f>
            </numRef>
          </cat>
          <val>
            <numRef>
              <f>'Tren Emisi 2020-2050'!$C$3:$C$33</f>
            </numRef>
          </val>
        </ser>
        <ser>
          <idx val="1"/>
          <order val="1"/>
          <tx>
            <strRef>
              <f>'Tren Emisi 2020-2050'!D2</f>
            </strRef>
          </tx>
          <spPr>
            <a:ln xmlns:a="http://schemas.openxmlformats.org/drawingml/2006/main" w="1275.75">
              <a:solidFill>
                <a:srgbClr val="63BE7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Emisi 2020-2050'!$B$3:$B$33</f>
            </numRef>
          </cat>
          <val>
            <numRef>
              <f>'Tren Emisi 2020-2050'!$D$3:$D$33</f>
            </numRef>
          </val>
        </ser>
        <ser>
          <idx val="2"/>
          <order val="2"/>
          <tx>
            <strRef>
              <f>'Tren Emisi 2020-2050'!E2</f>
            </strRef>
          </tx>
          <spPr>
            <a:ln xmlns:a="http://schemas.openxmlformats.org/drawingml/2006/main" w="1275.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 Emisi 2020-2050'!$B$3:$B$33</f>
            </numRef>
          </cat>
          <val>
            <numRef>
              <f>'Tren Emisi 2020-2050'!$E$3:$E$33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Emisi (MtCO₂/thn)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Emisi 2025 per Provinsi (%)</a:t>
            </a:r>
          </a:p>
        </rich>
      </tx>
    </title>
    <plotArea>
      <pieChart>
        <varyColors val="1"/>
        <ser>
          <idx val="0"/>
          <order val="0"/>
          <tx>
            <strRef>
              <f>'Agregasi Provinsi'!G2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'Agregasi Provinsi'!$B$3:$B$5</f>
            </numRef>
          </cat>
          <val>
            <numRef>
              <f>'Agregasi Provinsi'!$G$3:$G$5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BAU vs NZE 2050 per Provinsi (MtCO₂)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'Agregasi Provinsi'!J2</f>
            </strRef>
          </tx>
          <spPr>
            <a:solidFill xmlns:a="http://schemas.openxmlformats.org/drawingml/2006/main">
              <a:srgbClr val="F8696B"/>
            </a:solidFill>
            <a:ln xmlns:a="http://schemas.openxmlformats.org/drawingml/2006/main">
              <a:prstDash val="solid"/>
            </a:ln>
          </spPr>
          <cat>
            <numRef>
              <f>'Agregasi Provinsi'!$B$3:$B$5</f>
            </numRef>
          </cat>
          <val>
            <numRef>
              <f>'Agregasi Provinsi'!$J$3:$J$5</f>
            </numRef>
          </val>
        </ser>
        <ser>
          <idx val="1"/>
          <order val="1"/>
          <tx>
            <strRef>
              <f>'Agregasi Provinsi'!K2</f>
            </strRef>
          </tx>
          <spPr>
            <a:solidFill xmlns:a="http://schemas.openxmlformats.org/drawingml/2006/main">
              <a:srgbClr val="63BE7B"/>
            </a:solidFill>
            <a:ln xmlns:a="http://schemas.openxmlformats.org/drawingml/2006/main">
              <a:prstDash val="solid"/>
            </a:ln>
          </spPr>
          <cat>
            <numRef>
              <f>'Agregasi Provinsi'!$B$3:$B$5</f>
            </numRef>
          </cat>
          <val>
            <numRef>
              <f>'Agregasi Provinsi'!$K$3:$K$5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Provinsi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MtCO₂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PDRB Sektoral: BAU Th.1 vs BAU Th.9 vs RE+APC Th.9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'Dampak Sektoral'!C3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'Dampak Sektoral'!$B$4:$B$12</f>
            </numRef>
          </cat>
          <val>
            <numRef>
              <f>'Dampak Sektoral'!$C$4:$C$12</f>
            </numRef>
          </val>
        </ser>
        <ser>
          <idx val="1"/>
          <order val="1"/>
          <tx>
            <strRef>
              <f>'Dampak Sektoral'!D3</f>
            </strRef>
          </tx>
          <spPr>
            <a:solidFill xmlns:a="http://schemas.openxmlformats.org/drawingml/2006/main">
              <a:srgbClr val="F8696B"/>
            </a:solidFill>
            <a:ln xmlns:a="http://schemas.openxmlformats.org/drawingml/2006/main">
              <a:prstDash val="solid"/>
            </a:ln>
          </spPr>
          <cat>
            <numRef>
              <f>'Dampak Sektoral'!$B$4:$B$12</f>
            </numRef>
          </cat>
          <val>
            <numRef>
              <f>'Dampak Sektoral'!$D$4:$D$12</f>
            </numRef>
          </val>
        </ser>
        <ser>
          <idx val="2"/>
          <order val="2"/>
          <tx>
            <strRef>
              <f>'Dampak Sektoral'!E3</f>
            </strRef>
          </tx>
          <spPr>
            <a:solidFill xmlns:a="http://schemas.openxmlformats.org/drawingml/2006/main">
              <a:srgbClr val="63BE7B"/>
            </a:solidFill>
            <a:ln xmlns:a="http://schemas.openxmlformats.org/drawingml/2006/main">
              <a:prstDash val="solid"/>
            </a:ln>
          </spPr>
          <cat>
            <numRef>
              <f>'Dampak Sektoral'!$B$4:$B$12</f>
            </numRef>
          </cat>
          <val>
            <numRef>
              <f>'Dampak Sektoral'!$E$4:$E$12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Sektor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 Miliar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Potensi Reduksi Emisi per Strategi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'Strategi NZE'!C2</f>
            </strRef>
          </tx>
          <spPr>
            <a:solidFill xmlns:a="http://schemas.openxmlformats.org/drawingml/2006/main">
              <a:srgbClr val="01696F"/>
            </a:solidFill>
            <a:ln xmlns:a="http://schemas.openxmlformats.org/drawingml/2006/main">
              <a:prstDash val="solid"/>
            </a:ln>
          </spPr>
          <cat>
            <numRef>
              <f>'Strategi NZE'!$B$3:$B$7</f>
            </numRef>
          </cat>
          <val>
            <numRef>
              <f>'Strategi NZE'!$C$3:$C$7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Reduksi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per Strategi (USD juta/pabrik)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'Strategi NZE'!D2</f>
            </strRef>
          </tx>
          <spPr>
            <a:solidFill xmlns:a="http://schemas.openxmlformats.org/drawingml/2006/main">
              <a:srgbClr val="DA7101"/>
            </a:solidFill>
            <a:ln xmlns:a="http://schemas.openxmlformats.org/drawingml/2006/main">
              <a:prstDash val="solid"/>
            </a:ln>
          </spPr>
          <cat>
            <numRef>
              <f>'Strategi NZE'!$B$3:$B$7</f>
            </numRef>
          </cat>
          <val>
            <numRef>
              <f>'Strategi NZE'!$D$3:$D$7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juta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Bayesian SNR per Fitur (Proxy SHAP)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'Risiko &amp; SHAP'!C10</f>
            </strRef>
          </tx>
          <spPr>
            <a:solidFill xmlns:a="http://schemas.openxmlformats.org/drawingml/2006/main">
              <a:srgbClr val="01696F"/>
            </a:solidFill>
            <a:ln xmlns:a="http://schemas.openxmlformats.org/drawingml/2006/main">
              <a:prstDash val="solid"/>
            </a:ln>
          </spPr>
          <cat>
            <numRef>
              <f>'Risiko &amp; SHAP'!$B$11:$B$22</f>
            </numRef>
          </cat>
          <val>
            <numRef>
              <f>'Risiko &amp; SHAP'!$C$11:$C$22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Fitur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2" customHeight="1">
      <c r="B1" s="1" t="inlineStr">
        <is>
          <t>DASHBOARD EMISI SMELTER NIKEL INDONESIA — STRATEGI NET ZERO EMISSION 2050</t>
        </is>
      </c>
    </row>
    <row r="2" ht="15" customHeight="1">
      <c r="B2" s="2" t="inlineStr">
        <is>
          <t>Tema 6 LKTI HLHS PT IMIP 2026  |  Sumber: CREA-CELIOS &amp; IEEFA  |  11 May 2026</t>
        </is>
      </c>
    </row>
    <row r="3" ht="6" customHeight="1"/>
    <row r="4" ht="72" customHeight="1">
      <c r="B4" s="3" t="inlineStr">
        <is>
          <t>72
Jumlah Smelter
Terdata</t>
        </is>
      </c>
      <c r="D4" s="4" t="inlineStr">
        <is>
          <t>777 Mt
Emisi CO₂
2025 (MtCO₂)</t>
        </is>
      </c>
      <c r="F4" s="5" t="inlineStr">
        <is>
          <t>82%
Smelter Risiko
Tinggi</t>
        </is>
      </c>
      <c r="H4" s="6" t="inlineStr">
        <is>
          <t>75%
Potensi Reduksi
via RE Switch</t>
        </is>
      </c>
      <c r="J4" s="7" t="inlineStr">
        <is>
          <t>1.7%
RE Share
Rata-rata</t>
        </is>
      </c>
    </row>
    <row r="5"/>
    <row r="6"/>
    <row r="7"/>
    <row r="8"/>
    <row r="9"/>
    <row r="10" ht="8" customHeight="1"/>
    <row r="11" ht="22" customHeight="1">
      <c r="B11" s="8" t="inlineStr">
        <is>
          <t>Emisi per Provinsi (2025)</t>
        </is>
      </c>
      <c r="H11" s="8" t="inlineStr">
        <is>
          <t>Perbandingan Model Prediksi</t>
        </is>
      </c>
    </row>
    <row r="12" ht="22" customHeight="1">
      <c r="B12" s="9" t="inlineStr">
        <is>
          <t>Provinsi</t>
        </is>
      </c>
      <c r="C12" s="9" t="inlineStr">
        <is>
          <t>N Smelter</t>
        </is>
      </c>
      <c r="D12" s="9" t="inlineStr">
        <is>
          <t>Output (tpa)</t>
        </is>
      </c>
      <c r="E12" s="9" t="inlineStr">
        <is>
          <t>Emisi (MtCO₂)</t>
        </is>
      </c>
      <c r="F12" s="9" t="inlineStr">
        <is>
          <t>% Total</t>
        </is>
      </c>
      <c r="H12" s="9" t="inlineStr">
        <is>
          <t>Model</t>
        </is>
      </c>
      <c r="I12" s="9" t="inlineStr">
        <is>
          <t>R²-CV</t>
        </is>
      </c>
      <c r="J12" s="9" t="inlineStr">
        <is>
          <t>MAE</t>
        </is>
      </c>
      <c r="K12" s="9" t="inlineStr">
        <is>
          <t>Status</t>
        </is>
      </c>
    </row>
    <row r="13">
      <c r="B13" s="10" t="inlineStr">
        <is>
          <t>Maluku Utara</t>
        </is>
      </c>
      <c r="C13" s="11" t="n">
        <v>24</v>
      </c>
      <c r="D13" s="11" t="inlineStr">
        <is>
          <t>3,798,800</t>
        </is>
      </c>
      <c r="E13" s="11" t="n">
        <v>252.1</v>
      </c>
      <c r="F13" s="11" t="inlineStr">
        <is>
          <t>32.4%</t>
        </is>
      </c>
      <c r="H13" s="11" t="inlineStr">
        <is>
          <t>OLS</t>
        </is>
      </c>
      <c r="I13" s="11" t="n">
        <v>0.167</v>
      </c>
      <c r="J13" s="11" t="n">
        <v>33</v>
      </c>
      <c r="K13" s="11" t="inlineStr">
        <is>
          <t>Baseline</t>
        </is>
      </c>
    </row>
    <row r="14">
      <c r="B14" s="12" t="inlineStr">
        <is>
          <t>Sulawesi Tengah</t>
        </is>
      </c>
      <c r="C14" s="13" t="n">
        <v>27</v>
      </c>
      <c r="D14" s="13" t="inlineStr">
        <is>
          <t>6,078,000</t>
        </is>
      </c>
      <c r="E14" s="13" t="n">
        <v>404.9</v>
      </c>
      <c r="F14" s="13" t="inlineStr">
        <is>
          <t>52.1%</t>
        </is>
      </c>
      <c r="H14" s="13" t="inlineStr">
        <is>
          <t>Ridge</t>
        </is>
      </c>
      <c r="I14" s="13" t="n">
        <v>0.221</v>
      </c>
      <c r="J14" s="13" t="n">
        <v>32.5</v>
      </c>
      <c r="K14" s="13" t="inlineStr">
        <is>
          <t>Baseline</t>
        </is>
      </c>
    </row>
    <row r="15">
      <c r="B15" s="10" t="inlineStr">
        <is>
          <t>Sulawesi Tenggara</t>
        </is>
      </c>
      <c r="C15" s="11" t="n">
        <v>21</v>
      </c>
      <c r="D15" s="11" t="inlineStr">
        <is>
          <t>1,880,000</t>
        </is>
      </c>
      <c r="E15" s="11" t="n">
        <v>120.4</v>
      </c>
      <c r="F15" s="11" t="inlineStr">
        <is>
          <t>15.5%</t>
        </is>
      </c>
      <c r="H15" s="10" t="inlineStr">
        <is>
          <t>Random Forest</t>
        </is>
      </c>
      <c r="I15" s="11" t="n">
        <v>0.48</v>
      </c>
      <c r="J15" s="11" t="n">
        <v>18.2</v>
      </c>
      <c r="K15" s="11" t="inlineStr">
        <is>
          <t>Akurasi</t>
        </is>
      </c>
    </row>
    <row r="16" ht="8" customHeight="1">
      <c r="H16" s="13" t="inlineStr">
        <is>
          <t>Bayesian ST</t>
        </is>
      </c>
      <c r="I16" s="13" t="n">
        <v>0.12</v>
      </c>
      <c r="J16" s="13" t="n">
        <v>30.1</v>
      </c>
      <c r="K16" s="13" t="inlineStr">
        <is>
          <t>Uncertainty</t>
        </is>
      </c>
    </row>
    <row r="17">
      <c r="H17" s="14" t="inlineStr">
        <is>
          <t>GTWR</t>
        </is>
      </c>
      <c r="I17" s="14" t="n">
        <v>0.744</v>
      </c>
      <c r="J17" s="14" t="n">
        <v>23.8</v>
      </c>
      <c r="K17" s="14" t="inlineStr">
        <is>
          <t>★ Terbaik</t>
        </is>
      </c>
    </row>
    <row r="18">
      <c r="H18" s="13" t="inlineStr">
        <is>
          <t>ST-GCN</t>
        </is>
      </c>
      <c r="I18" s="13" t="n">
        <v>0.079</v>
      </c>
      <c r="J18" s="13" t="n">
        <v>39.9</v>
      </c>
      <c r="K18" s="13" t="inlineStr">
        <is>
          <t>Riset</t>
        </is>
      </c>
    </row>
    <row r="19" ht="8" customHeight="1"/>
    <row r="20" ht="22" customHeight="1">
      <c r="B20" s="15" t="inlineStr">
        <is>
          <t>Temuan Kunci &amp; Rekomendasi Kebijakan</t>
        </is>
      </c>
    </row>
    <row r="21" ht="22" customHeight="1">
      <c r="B21" s="16" t="inlineStr">
        <is>
          <t>1.  82% smelter NPI beroperasi di GHG &gt;65 tCO₂/tNi — 3× ambang batas IEA 2030 (20 tCO₂/tNi). Batubara menyumbang 85–95% listrik smelter.</t>
        </is>
      </c>
    </row>
    <row r="22" ht="22" customHeight="1">
      <c r="B22" s="17" t="inlineStr">
        <is>
          <t>2.  Skenario BAU: emisi 2× lipat pada 2050 (777 → 1.632 MtCO₂). Target NZE hanya tercapai jika transisi EBT dimulai sebelum 2028.</t>
        </is>
      </c>
    </row>
    <row r="23" ht="22" customHeight="1">
      <c r="B23" s="16" t="inlineStr">
        <is>
          <t>3.  GTWR (R²-CV=0.744): kluster smelter Morowali &amp; Weda Bay adalah hotspot spasial emisi — intervensi kebijakan wajib diprioritaskan di 2 kawasan ini.</t>
        </is>
      </c>
    </row>
    <row r="24" ht="22" customHeight="1">
      <c r="B24" s="17" t="inlineStr">
        <is>
          <t>4.  Paket paling efektif jangka pendek: Efisiensi Energi (payback 4 thn) + Transisi EBT (reduksi 65%, payback 7 thn) — biaya total &lt;$330 juta/pabrik.</t>
        </is>
      </c>
    </row>
    <row r="26" ht="14" customHeight="1">
      <c r="B26" s="18" t="inlineStr">
        <is>
          <t>Sumber: CREA-CELIOS Indonesia Nickel Development (2024) | IEEFA Indonesia's Nickel Companies Need RE (Oct 2024) | Model analisis: GTWR, Bayesian ST, ST-GCN</t>
        </is>
      </c>
    </row>
  </sheetData>
  <mergeCells count="15">
    <mergeCell ref="B4:B9"/>
    <mergeCell ref="B23:K23"/>
    <mergeCell ref="B1:K1"/>
    <mergeCell ref="B22:K22"/>
    <mergeCell ref="F4:F9"/>
    <mergeCell ref="D4:D9"/>
    <mergeCell ref="J4:J9"/>
    <mergeCell ref="H4:H9"/>
    <mergeCell ref="B26:K26"/>
    <mergeCell ref="B11:F11"/>
    <mergeCell ref="H11:K11"/>
    <mergeCell ref="B21:K21"/>
    <mergeCell ref="B24:K24"/>
    <mergeCell ref="B2:K2"/>
    <mergeCell ref="B20:K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7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2" customWidth="1" min="4" max="4"/>
    <col width="13" customWidth="1" min="5" max="5"/>
    <col width="9" customWidth="1" min="6" max="6"/>
    <col width="10" customWidth="1" min="7" max="7"/>
    <col width="12" customWidth="1" min="8" max="8"/>
    <col width="14" customWidth="1" min="9" max="9"/>
    <col width="10" customWidth="1" min="10" max="10"/>
    <col width="14" customWidth="1" min="11" max="11"/>
    <col width="9" customWidth="1" min="12" max="12"/>
    <col width="11" customWidth="1" min="13" max="13"/>
    <col width="10" customWidth="1" min="14" max="14"/>
    <col width="12" customWidth="1" min="15" max="15"/>
    <col width="12" customWidth="1" min="16" max="16"/>
    <col width="14" customWidth="1" min="17" max="17"/>
    <col width="13" customWidth="1" min="18" max="18"/>
    <col width="14" customWidth="1" min="19" max="19"/>
    <col width="13" customWidth="1" min="20" max="20"/>
    <col width="14" customWidth="1" min="21" max="21"/>
    <col width="9" customWidth="1" min="22" max="22"/>
  </cols>
  <sheetData>
    <row r="1" ht="28" customHeight="1">
      <c r="B1" s="19" t="inlineStr">
        <is>
          <t>MASTER DATASET — 72 Smelter Nikel (Sulteng · Sultra · Maluku Utara)</t>
        </is>
      </c>
    </row>
    <row r="2" ht="35" customHeight="1">
      <c r="B2" s="20" t="inlineStr">
        <is>
          <t>Perusahaan</t>
        </is>
      </c>
      <c r="C2" s="20" t="inlineStr">
        <is>
          <t>Provinsi</t>
        </is>
      </c>
      <c r="D2" s="20" t="inlineStr">
        <is>
          <t>Komoditas</t>
        </is>
      </c>
      <c r="E2" s="20" t="inlineStr">
        <is>
          <t>Output
(tpa)</t>
        </is>
      </c>
      <c r="F2" s="20" t="inlineStr">
        <is>
          <t>COD
Year</t>
        </is>
      </c>
      <c r="G2" s="20" t="inlineStr">
        <is>
          <t>Total MW</t>
        </is>
      </c>
      <c r="H2" s="20" t="inlineStr">
        <is>
          <t>Batubara MW</t>
        </is>
      </c>
      <c r="I2" s="20" t="inlineStr">
        <is>
          <t>GHG Intensity
(tCO₂/tNi)</t>
        </is>
      </c>
      <c r="J2" s="20" t="inlineStr">
        <is>
          <t>RE Share
(%)</t>
        </is>
      </c>
      <c r="K2" s="20" t="inlineStr">
        <is>
          <t>Emisi 2025
(tCO₂/thn)</t>
        </is>
      </c>
      <c r="L2" s="20" t="inlineStr">
        <is>
          <t>Usia
(thn)</t>
        </is>
      </c>
      <c r="M2" s="20" t="inlineStr">
        <is>
          <t>Rasio
Batubara</t>
        </is>
      </c>
      <c r="N2" s="20" t="inlineStr">
        <is>
          <t>Output
/MW</t>
        </is>
      </c>
      <c r="O2" s="20" t="inlineStr">
        <is>
          <t>Risiko
Emisi</t>
        </is>
      </c>
      <c r="P2" s="20" t="inlineStr">
        <is>
          <t>Skala
Produksi</t>
        </is>
      </c>
      <c r="Q2" s="20" t="inlineStr">
        <is>
          <t>BAU 2030
(tCO₂)</t>
        </is>
      </c>
      <c r="R2" s="20" t="inlineStr">
        <is>
          <t>NZE 2030
(tCO₂)</t>
        </is>
      </c>
      <c r="S2" s="20" t="inlineStr">
        <is>
          <t>BAU 2050
(tCO₂)</t>
        </is>
      </c>
      <c r="T2" s="20" t="inlineStr">
        <is>
          <t>NZE 2050
(tCO₂)</t>
        </is>
      </c>
      <c r="U2" s="20" t="inlineStr">
        <is>
          <t>Reduksi RE100
(tCO₂)</t>
        </is>
      </c>
      <c r="V2" s="20" t="inlineStr">
        <is>
          <t>Data
IEEFA</t>
        </is>
      </c>
    </row>
    <row r="3">
      <c r="B3" s="10" t="inlineStr">
        <is>
          <t>PT IWIP A</t>
        </is>
      </c>
      <c r="C3" s="11" t="inlineStr">
        <is>
          <t>Maluku Utara</t>
        </is>
      </c>
      <c r="D3" s="11" t="inlineStr">
        <is>
          <t>NPI</t>
        </is>
      </c>
      <c r="E3" s="21" t="n">
        <v>420000</v>
      </c>
      <c r="F3" s="11" t="n">
        <v>2020</v>
      </c>
      <c r="G3" s="21" t="n">
        <v>2450</v>
      </c>
      <c r="H3" s="21" t="n">
        <v>2200</v>
      </c>
      <c r="I3" s="22" t="n">
        <v>68.40000000000001</v>
      </c>
      <c r="J3" s="22" t="n">
        <v>1.5</v>
      </c>
      <c r="K3" s="21" t="n">
        <v>28728000</v>
      </c>
      <c r="L3" s="11" t="n">
        <v>5</v>
      </c>
      <c r="M3" s="22" t="n">
        <v>0.9</v>
      </c>
      <c r="N3" s="22" t="n">
        <v>171.4</v>
      </c>
      <c r="O3" s="23" t="inlineStr">
        <is>
          <t>Tinggi</t>
        </is>
      </c>
      <c r="P3" s="11" t="inlineStr">
        <is>
          <t>Besar</t>
        </is>
      </c>
      <c r="Q3" s="21" t="n">
        <v>38782800</v>
      </c>
      <c r="R3" s="21" t="n">
        <v>20109600</v>
      </c>
      <c r="S3" s="21" t="n">
        <v>60328800</v>
      </c>
      <c r="T3" s="21" t="n">
        <v>1436400</v>
      </c>
      <c r="U3" s="21" t="n">
        <v>21928082</v>
      </c>
      <c r="V3" s="11" t="n">
        <v>0</v>
      </c>
    </row>
    <row r="4">
      <c r="B4" s="12" t="inlineStr">
        <is>
          <t>PT IWIP B</t>
        </is>
      </c>
      <c r="C4" s="13" t="inlineStr">
        <is>
          <t>Maluku Utara</t>
        </is>
      </c>
      <c r="D4" s="13" t="inlineStr">
        <is>
          <t>NPI</t>
        </is>
      </c>
      <c r="E4" s="24" t="n">
        <v>380000</v>
      </c>
      <c r="F4" s="13" t="n">
        <v>2021</v>
      </c>
      <c r="G4" s="24" t="n">
        <v>2220</v>
      </c>
      <c r="H4" s="24" t="n">
        <v>2000</v>
      </c>
      <c r="I4" s="25" t="n">
        <v>68.40000000000001</v>
      </c>
      <c r="J4" s="25" t="n">
        <v>1.5</v>
      </c>
      <c r="K4" s="24" t="n">
        <v>25992000</v>
      </c>
      <c r="L4" s="13" t="n">
        <v>4</v>
      </c>
      <c r="M4" s="25" t="n">
        <v>0.9</v>
      </c>
      <c r="N4" s="25" t="n">
        <v>171.2</v>
      </c>
      <c r="O4" s="23" t="inlineStr">
        <is>
          <t>Tinggi</t>
        </is>
      </c>
      <c r="P4" s="13" t="inlineStr">
        <is>
          <t>Besar</t>
        </is>
      </c>
      <c r="Q4" s="24" t="n">
        <v>35089200</v>
      </c>
      <c r="R4" s="24" t="n">
        <v>18194400</v>
      </c>
      <c r="S4" s="24" t="n">
        <v>54583200</v>
      </c>
      <c r="T4" s="24" t="n">
        <v>1299600</v>
      </c>
      <c r="U4" s="24" t="n">
        <v>19905973</v>
      </c>
      <c r="V4" s="13" t="n">
        <v>0</v>
      </c>
    </row>
    <row r="5">
      <c r="B5" s="10" t="inlineStr">
        <is>
          <t>PT Indonesia Weda Bay</t>
        </is>
      </c>
      <c r="C5" s="11" t="inlineStr">
        <is>
          <t>Maluku Utara</t>
        </is>
      </c>
      <c r="D5" s="11" t="inlineStr">
        <is>
          <t>NPI</t>
        </is>
      </c>
      <c r="E5" s="21" t="n">
        <v>325000</v>
      </c>
      <c r="F5" s="11" t="n">
        <v>2020</v>
      </c>
      <c r="G5" s="21" t="n">
        <v>1350</v>
      </c>
      <c r="H5" s="21" t="n">
        <v>1200</v>
      </c>
      <c r="I5" s="22" t="n">
        <v>68.40000000000001</v>
      </c>
      <c r="J5" s="22" t="n">
        <v>1.5</v>
      </c>
      <c r="K5" s="21" t="n">
        <v>22230000</v>
      </c>
      <c r="L5" s="11" t="n">
        <v>5</v>
      </c>
      <c r="M5" s="22" t="n">
        <v>0.89</v>
      </c>
      <c r="N5" s="22" t="n">
        <v>240.7</v>
      </c>
      <c r="O5" s="23" t="inlineStr">
        <is>
          <t>Tinggi</t>
        </is>
      </c>
      <c r="P5" s="11" t="inlineStr">
        <is>
          <t>Besar</t>
        </is>
      </c>
      <c r="Q5" s="21" t="n">
        <v>30010500</v>
      </c>
      <c r="R5" s="21" t="n">
        <v>15561000</v>
      </c>
      <c r="S5" s="21" t="n">
        <v>46683000</v>
      </c>
      <c r="T5" s="21" t="n">
        <v>1111500</v>
      </c>
      <c r="U5" s="21" t="n">
        <v>16798100</v>
      </c>
      <c r="V5" s="11" t="n">
        <v>0</v>
      </c>
    </row>
    <row r="6">
      <c r="B6" s="12" t="inlineStr">
        <is>
          <t>PT IWIP C</t>
        </is>
      </c>
      <c r="C6" s="13" t="inlineStr">
        <is>
          <t>Maluku Utara</t>
        </is>
      </c>
      <c r="D6" s="13" t="inlineStr">
        <is>
          <t>NPI</t>
        </is>
      </c>
      <c r="E6" s="24" t="n">
        <v>310000</v>
      </c>
      <c r="F6" s="13" t="n">
        <v>2022</v>
      </c>
      <c r="G6" s="24" t="n">
        <v>1810</v>
      </c>
      <c r="H6" s="24" t="n">
        <v>1630</v>
      </c>
      <c r="I6" s="25" t="n">
        <v>68.40000000000001</v>
      </c>
      <c r="J6" s="25" t="n">
        <v>1.5</v>
      </c>
      <c r="K6" s="24" t="n">
        <v>21204000</v>
      </c>
      <c r="L6" s="13" t="n">
        <v>3</v>
      </c>
      <c r="M6" s="25" t="n">
        <v>0.9</v>
      </c>
      <c r="N6" s="25" t="n">
        <v>171.3</v>
      </c>
      <c r="O6" s="23" t="inlineStr">
        <is>
          <t>Tinggi</t>
        </is>
      </c>
      <c r="P6" s="13" t="inlineStr">
        <is>
          <t>Besar</t>
        </is>
      </c>
      <c r="Q6" s="24" t="n">
        <v>28625400</v>
      </c>
      <c r="R6" s="24" t="n">
        <v>14842800</v>
      </c>
      <c r="S6" s="24" t="n">
        <v>44528400</v>
      </c>
      <c r="T6" s="24" t="n">
        <v>1060200</v>
      </c>
      <c r="U6" s="24" t="n">
        <v>16239083</v>
      </c>
      <c r="V6" s="13" t="n">
        <v>0</v>
      </c>
    </row>
    <row r="7">
      <c r="B7" s="10" t="inlineStr">
        <is>
          <t>PT IWIP D</t>
        </is>
      </c>
      <c r="C7" s="11" t="inlineStr">
        <is>
          <t>Maluku Utara</t>
        </is>
      </c>
      <c r="D7" s="11" t="inlineStr">
        <is>
          <t>NPI</t>
        </is>
      </c>
      <c r="E7" s="21" t="n">
        <v>270000</v>
      </c>
      <c r="F7" s="11" t="n">
        <v>2023</v>
      </c>
      <c r="G7" s="21" t="n">
        <v>1581</v>
      </c>
      <c r="H7" s="21" t="n">
        <v>1423</v>
      </c>
      <c r="I7" s="22" t="n">
        <v>68.40000000000001</v>
      </c>
      <c r="J7" s="22" t="n">
        <v>1.5</v>
      </c>
      <c r="K7" s="21" t="n">
        <v>18468000</v>
      </c>
      <c r="L7" s="11" t="n">
        <v>2</v>
      </c>
      <c r="M7" s="22" t="n">
        <v>0.9</v>
      </c>
      <c r="N7" s="22" t="n">
        <v>170.8</v>
      </c>
      <c r="O7" s="23" t="inlineStr">
        <is>
          <t>Tinggi</t>
        </is>
      </c>
      <c r="P7" s="11" t="inlineStr">
        <is>
          <t>Besar</t>
        </is>
      </c>
      <c r="Q7" s="21" t="n">
        <v>24931800</v>
      </c>
      <c r="R7" s="21" t="n">
        <v>12927600</v>
      </c>
      <c r="S7" s="21" t="n">
        <v>38782800</v>
      </c>
      <c r="T7" s="21" t="n">
        <v>923400</v>
      </c>
      <c r="U7" s="21" t="n">
        <v>14128020</v>
      </c>
      <c r="V7" s="11" t="n">
        <v>0</v>
      </c>
    </row>
    <row r="8">
      <c r="B8" s="12" t="inlineStr">
        <is>
          <t>PT HMI Halmahera</t>
        </is>
      </c>
      <c r="C8" s="13" t="inlineStr">
        <is>
          <t>Maluku Utara</t>
        </is>
      </c>
      <c r="D8" s="13" t="inlineStr">
        <is>
          <t>NPI</t>
        </is>
      </c>
      <c r="E8" s="24" t="n">
        <v>200000</v>
      </c>
      <c r="F8" s="13" t="n">
        <v>2021</v>
      </c>
      <c r="G8" s="24" t="n">
        <v>1160</v>
      </c>
      <c r="H8" s="24" t="n">
        <v>1050</v>
      </c>
      <c r="I8" s="25" t="n">
        <v>68.40000000000001</v>
      </c>
      <c r="J8" s="25" t="n">
        <v>1.5</v>
      </c>
      <c r="K8" s="24" t="n">
        <v>13680000</v>
      </c>
      <c r="L8" s="13" t="n">
        <v>4</v>
      </c>
      <c r="M8" s="25" t="n">
        <v>0.91</v>
      </c>
      <c r="N8" s="25" t="n">
        <v>172.4</v>
      </c>
      <c r="O8" s="23" t="inlineStr">
        <is>
          <t>Tinggi</t>
        </is>
      </c>
      <c r="P8" s="13" t="inlineStr">
        <is>
          <t>Besar</t>
        </is>
      </c>
      <c r="Q8" s="24" t="n">
        <v>18468000</v>
      </c>
      <c r="R8" s="24" t="n">
        <v>9576000</v>
      </c>
      <c r="S8" s="24" t="n">
        <v>28728000</v>
      </c>
      <c r="T8" s="24" t="n">
        <v>684000</v>
      </c>
      <c r="U8" s="24" t="n">
        <v>10523340</v>
      </c>
      <c r="V8" s="13" t="n">
        <v>0</v>
      </c>
    </row>
    <row r="9">
      <c r="B9" s="10" t="inlineStr">
        <is>
          <t>PT Obi RKEF</t>
        </is>
      </c>
      <c r="C9" s="11" t="inlineStr">
        <is>
          <t>Maluku Utara</t>
        </is>
      </c>
      <c r="D9" s="11" t="inlineStr">
        <is>
          <t>NPI</t>
        </is>
      </c>
      <c r="E9" s="21" t="n">
        <v>200000</v>
      </c>
      <c r="F9" s="11" t="n">
        <v>2022</v>
      </c>
      <c r="G9" s="21" t="n">
        <v>1173</v>
      </c>
      <c r="H9" s="21" t="n">
        <v>1055</v>
      </c>
      <c r="I9" s="22" t="n">
        <v>68.40000000000001</v>
      </c>
      <c r="J9" s="22" t="n">
        <v>1.5</v>
      </c>
      <c r="K9" s="21" t="n">
        <v>13680000</v>
      </c>
      <c r="L9" s="11" t="n">
        <v>3</v>
      </c>
      <c r="M9" s="22" t="n">
        <v>0.9</v>
      </c>
      <c r="N9" s="22" t="n">
        <v>170.5</v>
      </c>
      <c r="O9" s="23" t="inlineStr">
        <is>
          <t>Tinggi</t>
        </is>
      </c>
      <c r="P9" s="11" t="inlineStr">
        <is>
          <t>Besar</t>
        </is>
      </c>
      <c r="Q9" s="21" t="n">
        <v>18468000</v>
      </c>
      <c r="R9" s="21" t="n">
        <v>9576000</v>
      </c>
      <c r="S9" s="21" t="n">
        <v>28728000</v>
      </c>
      <c r="T9" s="21" t="n">
        <v>684000</v>
      </c>
      <c r="U9" s="21" t="n">
        <v>10453572</v>
      </c>
      <c r="V9" s="11" t="n">
        <v>0</v>
      </c>
    </row>
    <row r="10">
      <c r="B10" s="12" t="inlineStr">
        <is>
          <t>PT Halmahera Ni A</t>
        </is>
      </c>
      <c r="C10" s="13" t="inlineStr">
        <is>
          <t>Maluku Utara</t>
        </is>
      </c>
      <c r="D10" s="13" t="inlineStr">
        <is>
          <t>NPI</t>
        </is>
      </c>
      <c r="E10" s="24" t="n">
        <v>185000</v>
      </c>
      <c r="F10" s="13" t="n">
        <v>2022</v>
      </c>
      <c r="G10" s="24" t="n">
        <v>1084</v>
      </c>
      <c r="H10" s="24" t="n">
        <v>975</v>
      </c>
      <c r="I10" s="25" t="n">
        <v>68.40000000000001</v>
      </c>
      <c r="J10" s="25" t="n">
        <v>1.5</v>
      </c>
      <c r="K10" s="24" t="n">
        <v>12654000</v>
      </c>
      <c r="L10" s="13" t="n">
        <v>3</v>
      </c>
      <c r="M10" s="25" t="n">
        <v>0.9</v>
      </c>
      <c r="N10" s="25" t="n">
        <v>170.7</v>
      </c>
      <c r="O10" s="23" t="inlineStr">
        <is>
          <t>Tinggi</t>
        </is>
      </c>
      <c r="P10" s="13" t="inlineStr">
        <is>
          <t>Menengah</t>
        </is>
      </c>
      <c r="Q10" s="24" t="n">
        <v>17082900</v>
      </c>
      <c r="R10" s="24" t="n">
        <v>8857800</v>
      </c>
      <c r="S10" s="24" t="n">
        <v>26573400</v>
      </c>
      <c r="T10" s="24" t="n">
        <v>632700</v>
      </c>
      <c r="U10" s="24" t="n">
        <v>9669554</v>
      </c>
      <c r="V10" s="13" t="n">
        <v>0</v>
      </c>
    </row>
    <row r="11">
      <c r="B11" s="10" t="inlineStr">
        <is>
          <t>PT Weda Bay A</t>
        </is>
      </c>
      <c r="C11" s="11" t="inlineStr">
        <is>
          <t>Maluku Utara</t>
        </is>
      </c>
      <c r="D11" s="11" t="inlineStr">
        <is>
          <t>NPI</t>
        </is>
      </c>
      <c r="E11" s="21" t="n">
        <v>180000</v>
      </c>
      <c r="F11" s="11" t="n">
        <v>2021</v>
      </c>
      <c r="G11" s="21" t="n">
        <v>1050</v>
      </c>
      <c r="H11" s="21" t="n">
        <v>940</v>
      </c>
      <c r="I11" s="22" t="n">
        <v>68.40000000000001</v>
      </c>
      <c r="J11" s="22" t="n">
        <v>1.5</v>
      </c>
      <c r="K11" s="21" t="n">
        <v>12312000</v>
      </c>
      <c r="L11" s="11" t="n">
        <v>4</v>
      </c>
      <c r="M11" s="22" t="n">
        <v>0.9</v>
      </c>
      <c r="N11" s="22" t="n">
        <v>171.4</v>
      </c>
      <c r="O11" s="23" t="inlineStr">
        <is>
          <t>Tinggi</t>
        </is>
      </c>
      <c r="P11" s="11" t="inlineStr">
        <is>
          <t>Menengah</t>
        </is>
      </c>
      <c r="Q11" s="21" t="n">
        <v>16621200</v>
      </c>
      <c r="R11" s="21" t="n">
        <v>8618400</v>
      </c>
      <c r="S11" s="21" t="n">
        <v>25855200</v>
      </c>
      <c r="T11" s="21" t="n">
        <v>615600</v>
      </c>
      <c r="U11" s="21" t="n">
        <v>9366354</v>
      </c>
      <c r="V11" s="11" t="n">
        <v>0</v>
      </c>
    </row>
    <row r="12">
      <c r="B12" s="12" t="inlineStr">
        <is>
          <t>PT Trimegah Nickel</t>
        </is>
      </c>
      <c r="C12" s="13" t="inlineStr">
        <is>
          <t>Maluku Utara</t>
        </is>
      </c>
      <c r="D12" s="13" t="inlineStr">
        <is>
          <t>NPI</t>
        </is>
      </c>
      <c r="E12" s="24" t="n">
        <v>160000</v>
      </c>
      <c r="F12" s="13" t="n">
        <v>2022</v>
      </c>
      <c r="G12" s="24" t="n">
        <v>930</v>
      </c>
      <c r="H12" s="24" t="n">
        <v>840</v>
      </c>
      <c r="I12" s="25" t="n">
        <v>68.40000000000001</v>
      </c>
      <c r="J12" s="25" t="n">
        <v>1.5</v>
      </c>
      <c r="K12" s="24" t="n">
        <v>10944000</v>
      </c>
      <c r="L12" s="13" t="n">
        <v>3</v>
      </c>
      <c r="M12" s="25" t="n">
        <v>0.9</v>
      </c>
      <c r="N12" s="25" t="n">
        <v>172</v>
      </c>
      <c r="O12" s="23" t="inlineStr">
        <is>
          <t>Tinggi</t>
        </is>
      </c>
      <c r="P12" s="13" t="inlineStr">
        <is>
          <t>Menengah</t>
        </is>
      </c>
      <c r="Q12" s="24" t="n">
        <v>14774400</v>
      </c>
      <c r="R12" s="24" t="n">
        <v>7660800</v>
      </c>
      <c r="S12" s="24" t="n">
        <v>22982400</v>
      </c>
      <c r="T12" s="24" t="n">
        <v>547200</v>
      </c>
      <c r="U12" s="24" t="n">
        <v>8400067</v>
      </c>
      <c r="V12" s="13" t="n">
        <v>0</v>
      </c>
    </row>
    <row r="13">
      <c r="B13" s="10" t="inlineStr">
        <is>
          <t>PT Halmahera Ni B</t>
        </is>
      </c>
      <c r="C13" s="11" t="inlineStr">
        <is>
          <t>Maluku Utara</t>
        </is>
      </c>
      <c r="D13" s="11" t="inlineStr">
        <is>
          <t>NPI</t>
        </is>
      </c>
      <c r="E13" s="21" t="n">
        <v>155000</v>
      </c>
      <c r="F13" s="11" t="n">
        <v>2023</v>
      </c>
      <c r="G13" s="21" t="n">
        <v>908</v>
      </c>
      <c r="H13" s="21" t="n">
        <v>817</v>
      </c>
      <c r="I13" s="22" t="n">
        <v>68.40000000000001</v>
      </c>
      <c r="J13" s="22" t="n">
        <v>1.5</v>
      </c>
      <c r="K13" s="21" t="n">
        <v>10602000</v>
      </c>
      <c r="L13" s="11" t="n">
        <v>2</v>
      </c>
      <c r="M13" s="22" t="n">
        <v>0.9</v>
      </c>
      <c r="N13" s="22" t="n">
        <v>170.7</v>
      </c>
      <c r="O13" s="23" t="inlineStr">
        <is>
          <t>Tinggi</t>
        </is>
      </c>
      <c r="P13" s="11" t="inlineStr">
        <is>
          <t>Menengah</t>
        </is>
      </c>
      <c r="Q13" s="21" t="n">
        <v>14312700</v>
      </c>
      <c r="R13" s="21" t="n">
        <v>7421400</v>
      </c>
      <c r="S13" s="21" t="n">
        <v>22264200</v>
      </c>
      <c r="T13" s="21" t="n">
        <v>530100</v>
      </c>
      <c r="U13" s="21" t="n">
        <v>8110530</v>
      </c>
      <c r="V13" s="11" t="n">
        <v>0</v>
      </c>
    </row>
    <row r="14">
      <c r="B14" s="12" t="inlineStr">
        <is>
          <t>PT Weda Bay B</t>
        </is>
      </c>
      <c r="C14" s="13" t="inlineStr">
        <is>
          <t>Maluku Utara</t>
        </is>
      </c>
      <c r="D14" s="13" t="inlineStr">
        <is>
          <t>NPI</t>
        </is>
      </c>
      <c r="E14" s="24" t="n">
        <v>150000</v>
      </c>
      <c r="F14" s="13" t="n">
        <v>2022</v>
      </c>
      <c r="G14" s="24" t="n">
        <v>870</v>
      </c>
      <c r="H14" s="24" t="n">
        <v>780</v>
      </c>
      <c r="I14" s="25" t="n">
        <v>68.40000000000001</v>
      </c>
      <c r="J14" s="25" t="n">
        <v>1.5</v>
      </c>
      <c r="K14" s="24" t="n">
        <v>10260000</v>
      </c>
      <c r="L14" s="13" t="n">
        <v>3</v>
      </c>
      <c r="M14" s="25" t="n">
        <v>0.9</v>
      </c>
      <c r="N14" s="25" t="n">
        <v>172.4</v>
      </c>
      <c r="O14" s="23" t="inlineStr">
        <is>
          <t>Tinggi</t>
        </is>
      </c>
      <c r="P14" s="13" t="inlineStr">
        <is>
          <t>Menengah</t>
        </is>
      </c>
      <c r="Q14" s="24" t="n">
        <v>13851000</v>
      </c>
      <c r="R14" s="24" t="n">
        <v>7182000</v>
      </c>
      <c r="S14" s="24" t="n">
        <v>21546000</v>
      </c>
      <c r="T14" s="24" t="n">
        <v>513000</v>
      </c>
      <c r="U14" s="24" t="n">
        <v>7822737</v>
      </c>
      <c r="V14" s="13" t="n">
        <v>0</v>
      </c>
    </row>
    <row r="15">
      <c r="B15" s="10" t="inlineStr">
        <is>
          <t>PT North Maluku St</t>
        </is>
      </c>
      <c r="C15" s="11" t="inlineStr">
        <is>
          <t>Maluku Utara</t>
        </is>
      </c>
      <c r="D15" s="11" t="inlineStr">
        <is>
          <t>NPI</t>
        </is>
      </c>
      <c r="E15" s="21" t="n">
        <v>130000</v>
      </c>
      <c r="F15" s="11" t="n">
        <v>2024</v>
      </c>
      <c r="G15" s="21" t="n">
        <v>762</v>
      </c>
      <c r="H15" s="21" t="n">
        <v>685</v>
      </c>
      <c r="I15" s="22" t="n">
        <v>68.40000000000001</v>
      </c>
      <c r="J15" s="22" t="n">
        <v>1.5</v>
      </c>
      <c r="K15" s="21" t="n">
        <v>8892000</v>
      </c>
      <c r="L15" s="11" t="n">
        <v>1</v>
      </c>
      <c r="M15" s="22" t="n">
        <v>0.9</v>
      </c>
      <c r="N15" s="22" t="n">
        <v>170.6</v>
      </c>
      <c r="O15" s="23" t="inlineStr">
        <is>
          <t>Tinggi</t>
        </is>
      </c>
      <c r="P15" s="11" t="inlineStr">
        <is>
          <t>Menengah</t>
        </is>
      </c>
      <c r="Q15" s="21" t="n">
        <v>12004200</v>
      </c>
      <c r="R15" s="21" t="n">
        <v>6224400</v>
      </c>
      <c r="S15" s="21" t="n">
        <v>18673200</v>
      </c>
      <c r="T15" s="21" t="n">
        <v>444600</v>
      </c>
      <c r="U15" s="21" t="n">
        <v>6794822</v>
      </c>
      <c r="V15" s="11" t="n">
        <v>0</v>
      </c>
    </row>
    <row r="16">
      <c r="B16" s="12" t="inlineStr">
        <is>
          <t>PT Weda Bay C</t>
        </is>
      </c>
      <c r="C16" s="13" t="inlineStr">
        <is>
          <t>Maluku Utara</t>
        </is>
      </c>
      <c r="D16" s="13" t="inlineStr">
        <is>
          <t>NPI</t>
        </is>
      </c>
      <c r="E16" s="24" t="n">
        <v>120000</v>
      </c>
      <c r="F16" s="13" t="n">
        <v>2023</v>
      </c>
      <c r="G16" s="24" t="n">
        <v>703</v>
      </c>
      <c r="H16" s="24" t="n">
        <v>633</v>
      </c>
      <c r="I16" s="25" t="n">
        <v>68.40000000000001</v>
      </c>
      <c r="J16" s="25" t="n">
        <v>1.5</v>
      </c>
      <c r="K16" s="24" t="n">
        <v>8208000</v>
      </c>
      <c r="L16" s="13" t="n">
        <v>2</v>
      </c>
      <c r="M16" s="25" t="n">
        <v>0.9</v>
      </c>
      <c r="N16" s="25" t="n">
        <v>170.7</v>
      </c>
      <c r="O16" s="23" t="inlineStr">
        <is>
          <t>Tinggi</t>
        </is>
      </c>
      <c r="P16" s="13" t="inlineStr">
        <is>
          <t>Menengah</t>
        </is>
      </c>
      <c r="Q16" s="24" t="n">
        <v>11080800</v>
      </c>
      <c r="R16" s="24" t="n">
        <v>5745600</v>
      </c>
      <c r="S16" s="24" t="n">
        <v>17236800</v>
      </c>
      <c r="T16" s="24" t="n">
        <v>410400</v>
      </c>
      <c r="U16" s="24" t="n">
        <v>6279120</v>
      </c>
      <c r="V16" s="13" t="n">
        <v>0</v>
      </c>
    </row>
    <row r="17">
      <c r="B17" s="10" t="inlineStr">
        <is>
          <t>PT Ternate Steel</t>
        </is>
      </c>
      <c r="C17" s="11" t="inlineStr">
        <is>
          <t>Maluku Utara</t>
        </is>
      </c>
      <c r="D17" s="11" t="inlineStr">
        <is>
          <t>NPI</t>
        </is>
      </c>
      <c r="E17" s="21" t="n">
        <v>110000</v>
      </c>
      <c r="F17" s="11" t="n">
        <v>2023</v>
      </c>
      <c r="G17" s="21" t="n">
        <v>645</v>
      </c>
      <c r="H17" s="21" t="n">
        <v>580</v>
      </c>
      <c r="I17" s="22" t="n">
        <v>68.40000000000001</v>
      </c>
      <c r="J17" s="22" t="n">
        <v>1.5</v>
      </c>
      <c r="K17" s="21" t="n">
        <v>7524000</v>
      </c>
      <c r="L17" s="11" t="n">
        <v>2</v>
      </c>
      <c r="M17" s="22" t="n">
        <v>0.9</v>
      </c>
      <c r="N17" s="22" t="n">
        <v>170.5</v>
      </c>
      <c r="O17" s="23" t="inlineStr">
        <is>
          <t>Tinggi</t>
        </is>
      </c>
      <c r="P17" s="11" t="inlineStr">
        <is>
          <t>Menengah</t>
        </is>
      </c>
      <c r="Q17" s="21" t="n">
        <v>10157400</v>
      </c>
      <c r="R17" s="21" t="n">
        <v>5266800</v>
      </c>
      <c r="S17" s="21" t="n">
        <v>15800400</v>
      </c>
      <c r="T17" s="21" t="n">
        <v>376200</v>
      </c>
      <c r="U17" s="21" t="n">
        <v>5749465</v>
      </c>
      <c r="V17" s="11" t="n">
        <v>0</v>
      </c>
    </row>
    <row r="18">
      <c r="B18" s="12" t="inlineStr">
        <is>
          <t>PT Weda NPI D</t>
        </is>
      </c>
      <c r="C18" s="13" t="inlineStr">
        <is>
          <t>Maluku Utara</t>
        </is>
      </c>
      <c r="D18" s="13" t="inlineStr">
        <is>
          <t>NPI</t>
        </is>
      </c>
      <c r="E18" s="24" t="n">
        <v>98000</v>
      </c>
      <c r="F18" s="13" t="n">
        <v>2024</v>
      </c>
      <c r="G18" s="24" t="n">
        <v>574</v>
      </c>
      <c r="H18" s="24" t="n">
        <v>516</v>
      </c>
      <c r="I18" s="25" t="n">
        <v>68.40000000000001</v>
      </c>
      <c r="J18" s="25" t="n">
        <v>1.5</v>
      </c>
      <c r="K18" s="24" t="n">
        <v>6703200</v>
      </c>
      <c r="L18" s="13" t="n">
        <v>1</v>
      </c>
      <c r="M18" s="25" t="n">
        <v>0.9</v>
      </c>
      <c r="N18" s="25" t="n">
        <v>170.7</v>
      </c>
      <c r="O18" s="23" t="inlineStr">
        <is>
          <t>Tinggi</t>
        </is>
      </c>
      <c r="P18" s="13" t="inlineStr">
        <is>
          <t>Menengah</t>
        </is>
      </c>
      <c r="Q18" s="24" t="n">
        <v>9049320</v>
      </c>
      <c r="R18" s="24" t="n">
        <v>4692240</v>
      </c>
      <c r="S18" s="24" t="n">
        <v>14076720</v>
      </c>
      <c r="T18" s="24" t="n">
        <v>335160</v>
      </c>
      <c r="U18" s="24" t="n">
        <v>5122250</v>
      </c>
      <c r="V18" s="13" t="n">
        <v>0</v>
      </c>
    </row>
    <row r="19">
      <c r="B19" s="10" t="inlineStr">
        <is>
          <t>PT Nusa Halmahera</t>
        </is>
      </c>
      <c r="C19" s="11" t="inlineStr">
        <is>
          <t>Maluku Utara</t>
        </is>
      </c>
      <c r="D19" s="11" t="inlineStr">
        <is>
          <t>NPI</t>
        </is>
      </c>
      <c r="E19" s="21" t="n">
        <v>95000</v>
      </c>
      <c r="F19" s="11" t="n">
        <v>2023</v>
      </c>
      <c r="G19" s="21" t="n">
        <v>555</v>
      </c>
      <c r="H19" s="21" t="n">
        <v>500</v>
      </c>
      <c r="I19" s="22" t="n">
        <v>68.40000000000001</v>
      </c>
      <c r="J19" s="22" t="n">
        <v>1.5</v>
      </c>
      <c r="K19" s="21" t="n">
        <v>6498000</v>
      </c>
      <c r="L19" s="11" t="n">
        <v>2</v>
      </c>
      <c r="M19" s="22" t="n">
        <v>0.9</v>
      </c>
      <c r="N19" s="22" t="n">
        <v>171.2</v>
      </c>
      <c r="O19" s="23" t="inlineStr">
        <is>
          <t>Tinggi</t>
        </is>
      </c>
      <c r="P19" s="11" t="inlineStr">
        <is>
          <t>Menengah</t>
        </is>
      </c>
      <c r="Q19" s="21" t="n">
        <v>8772300</v>
      </c>
      <c r="R19" s="21" t="n">
        <v>4548600</v>
      </c>
      <c r="S19" s="21" t="n">
        <v>13645800</v>
      </c>
      <c r="T19" s="21" t="n">
        <v>324900</v>
      </c>
      <c r="U19" s="21" t="n">
        <v>4976493</v>
      </c>
      <c r="V19" s="11" t="n">
        <v>0</v>
      </c>
    </row>
    <row r="20">
      <c r="B20" s="12" t="inlineStr">
        <is>
          <t>PT Maluku Nickel</t>
        </is>
      </c>
      <c r="C20" s="13" t="inlineStr">
        <is>
          <t>Maluku Utara</t>
        </is>
      </c>
      <c r="D20" s="13" t="inlineStr">
        <is>
          <t>NPI</t>
        </is>
      </c>
      <c r="E20" s="24" t="n">
        <v>75000</v>
      </c>
      <c r="F20" s="13" t="n">
        <v>2025</v>
      </c>
      <c r="G20" s="24" t="n">
        <v>440</v>
      </c>
      <c r="H20" s="24" t="n">
        <v>396</v>
      </c>
      <c r="I20" s="25" t="n">
        <v>68.40000000000001</v>
      </c>
      <c r="J20" s="25" t="n">
        <v>1.5</v>
      </c>
      <c r="K20" s="24" t="n">
        <v>5130000</v>
      </c>
      <c r="L20" s="13" t="n">
        <v>0</v>
      </c>
      <c r="M20" s="25" t="n">
        <v>0.9</v>
      </c>
      <c r="N20" s="25" t="n">
        <v>170.5</v>
      </c>
      <c r="O20" s="23" t="inlineStr">
        <is>
          <t>Tinggi</t>
        </is>
      </c>
      <c r="P20" s="13" t="inlineStr">
        <is>
          <t>Kecil</t>
        </is>
      </c>
      <c r="Q20" s="24" t="n">
        <v>6925500</v>
      </c>
      <c r="R20" s="24" t="n">
        <v>3591000</v>
      </c>
      <c r="S20" s="24" t="n">
        <v>10773000</v>
      </c>
      <c r="T20" s="24" t="n">
        <v>256500</v>
      </c>
      <c r="U20" s="24" t="n">
        <v>3924450</v>
      </c>
      <c r="V20" s="13" t="n">
        <v>0</v>
      </c>
    </row>
    <row r="21">
      <c r="B21" s="10" t="inlineStr">
        <is>
          <t>PT Harita HPAL</t>
        </is>
      </c>
      <c r="C21" s="11" t="inlineStr">
        <is>
          <t>Maluku Utara</t>
        </is>
      </c>
      <c r="D21" s="11" t="inlineStr">
        <is>
          <t>MHP</t>
        </is>
      </c>
      <c r="E21" s="21" t="n">
        <v>50000</v>
      </c>
      <c r="F21" s="11" t="n">
        <v>2023</v>
      </c>
      <c r="G21" s="21" t="n">
        <v>130</v>
      </c>
      <c r="H21" s="21" t="n">
        <v>0</v>
      </c>
      <c r="I21" s="22" t="n">
        <v>69.90000000000001</v>
      </c>
      <c r="J21" s="22" t="n">
        <v>5</v>
      </c>
      <c r="K21" s="21" t="n">
        <v>3495000</v>
      </c>
      <c r="L21" s="11" t="n">
        <v>2</v>
      </c>
      <c r="M21" s="22" t="n">
        <v>0</v>
      </c>
      <c r="N21" s="22" t="n">
        <v>384.6</v>
      </c>
      <c r="O21" s="23" t="inlineStr">
        <is>
          <t>Tinggi</t>
        </is>
      </c>
      <c r="P21" s="11" t="inlineStr">
        <is>
          <t>Kecil</t>
        </is>
      </c>
      <c r="Q21" s="21" t="n">
        <v>4718250</v>
      </c>
      <c r="R21" s="21" t="n">
        <v>2446500</v>
      </c>
      <c r="S21" s="21" t="n">
        <v>7339500</v>
      </c>
      <c r="T21" s="21" t="n">
        <v>174750</v>
      </c>
      <c r="U21" s="21" t="n">
        <v>0</v>
      </c>
      <c r="V21" s="11" t="n">
        <v>1</v>
      </c>
    </row>
    <row r="22">
      <c r="B22" s="12" t="inlineStr">
        <is>
          <t>PT HPAL Halmahera</t>
        </is>
      </c>
      <c r="C22" s="13" t="inlineStr">
        <is>
          <t>Maluku Utara</t>
        </is>
      </c>
      <c r="D22" s="13" t="inlineStr">
        <is>
          <t>MHP</t>
        </is>
      </c>
      <c r="E22" s="24" t="n">
        <v>37800</v>
      </c>
      <c r="F22" s="13" t="n">
        <v>2022</v>
      </c>
      <c r="G22" s="24" t="n">
        <v>150</v>
      </c>
      <c r="H22" s="24" t="n">
        <v>0</v>
      </c>
      <c r="I22" s="25" t="n">
        <v>68.40000000000001</v>
      </c>
      <c r="J22" s="25" t="n">
        <v>3</v>
      </c>
      <c r="K22" s="24" t="n">
        <v>2585520</v>
      </c>
      <c r="L22" s="13" t="n">
        <v>3</v>
      </c>
      <c r="M22" s="25" t="n">
        <v>0</v>
      </c>
      <c r="N22" s="25" t="n">
        <v>252</v>
      </c>
      <c r="O22" s="23" t="inlineStr">
        <is>
          <t>Tinggi</t>
        </is>
      </c>
      <c r="P22" s="13" t="inlineStr">
        <is>
          <t>Kecil</t>
        </is>
      </c>
      <c r="Q22" s="24" t="n">
        <v>3490452</v>
      </c>
      <c r="R22" s="24" t="n">
        <v>1809864</v>
      </c>
      <c r="S22" s="24" t="n">
        <v>5429592</v>
      </c>
      <c r="T22" s="24" t="n">
        <v>129276</v>
      </c>
      <c r="U22" s="24" t="n">
        <v>0</v>
      </c>
      <c r="V22" s="13" t="n">
        <v>1</v>
      </c>
    </row>
    <row r="23">
      <c r="B23" s="10" t="inlineStr">
        <is>
          <t>PT Antam Halmahera</t>
        </is>
      </c>
      <c r="C23" s="11" t="inlineStr">
        <is>
          <t>Maluku Utara</t>
        </is>
      </c>
      <c r="D23" s="11" t="inlineStr">
        <is>
          <t>FeNi</t>
        </is>
      </c>
      <c r="E23" s="21" t="n">
        <v>25000</v>
      </c>
      <c r="F23" s="11" t="n">
        <v>2015</v>
      </c>
      <c r="G23" s="21" t="n">
        <v>250</v>
      </c>
      <c r="H23" s="21" t="n">
        <v>210</v>
      </c>
      <c r="I23" s="22" t="n">
        <v>45</v>
      </c>
      <c r="J23" s="22" t="n">
        <v>1.5</v>
      </c>
      <c r="K23" s="21" t="n">
        <v>1125000</v>
      </c>
      <c r="L23" s="11" t="n">
        <v>10</v>
      </c>
      <c r="M23" s="22" t="n">
        <v>0.84</v>
      </c>
      <c r="N23" s="22" t="n">
        <v>100</v>
      </c>
      <c r="O23" s="26" t="inlineStr">
        <is>
          <t>Sedang</t>
        </is>
      </c>
      <c r="P23" s="11" t="inlineStr">
        <is>
          <t>Kecil</t>
        </is>
      </c>
      <c r="Q23" s="21" t="n">
        <v>1518750</v>
      </c>
      <c r="R23" s="21" t="n">
        <v>787500</v>
      </c>
      <c r="S23" s="21" t="n">
        <v>2362500</v>
      </c>
      <c r="T23" s="21" t="n">
        <v>56250</v>
      </c>
      <c r="U23" s="21" t="n">
        <v>803250</v>
      </c>
      <c r="V23" s="11" t="n">
        <v>0</v>
      </c>
    </row>
    <row r="24">
      <c r="B24" s="12" t="inlineStr">
        <is>
          <t>PT Harita IWIP B</t>
        </is>
      </c>
      <c r="C24" s="13" t="inlineStr">
        <is>
          <t>Maluku Utara</t>
        </is>
      </c>
      <c r="D24" s="13" t="inlineStr">
        <is>
          <t>MHP</t>
        </is>
      </c>
      <c r="E24" s="24" t="n">
        <v>48000</v>
      </c>
      <c r="F24" s="13" t="n">
        <v>2025</v>
      </c>
      <c r="G24" s="24" t="n">
        <v>132</v>
      </c>
      <c r="H24" s="24" t="n">
        <v>0</v>
      </c>
      <c r="I24" s="25" t="n">
        <v>10</v>
      </c>
      <c r="J24" s="25" t="n">
        <v>7</v>
      </c>
      <c r="K24" s="24" t="n">
        <v>480000</v>
      </c>
      <c r="L24" s="13" t="n">
        <v>0</v>
      </c>
      <c r="M24" s="25" t="n">
        <v>0</v>
      </c>
      <c r="N24" s="25" t="n">
        <v>363.6</v>
      </c>
      <c r="O24" s="27" t="inlineStr">
        <is>
          <t>Sangat Rendah</t>
        </is>
      </c>
      <c r="P24" s="13" t="inlineStr">
        <is>
          <t>Kecil</t>
        </is>
      </c>
      <c r="Q24" s="24" t="n">
        <v>648000</v>
      </c>
      <c r="R24" s="24" t="n">
        <v>336000</v>
      </c>
      <c r="S24" s="24" t="n">
        <v>1008000</v>
      </c>
      <c r="T24" s="24" t="n">
        <v>24000</v>
      </c>
      <c r="U24" s="24" t="n">
        <v>0</v>
      </c>
      <c r="V24" s="13" t="n">
        <v>0</v>
      </c>
    </row>
    <row r="25">
      <c r="B25" s="10" t="inlineStr">
        <is>
          <t>PT Obi Nickel MHP</t>
        </is>
      </c>
      <c r="C25" s="11" t="inlineStr">
        <is>
          <t>Maluku Utara</t>
        </is>
      </c>
      <c r="D25" s="11" t="inlineStr">
        <is>
          <t>MHP</t>
        </is>
      </c>
      <c r="E25" s="21" t="n">
        <v>42000</v>
      </c>
      <c r="F25" s="11" t="n">
        <v>2024</v>
      </c>
      <c r="G25" s="21" t="n">
        <v>120</v>
      </c>
      <c r="H25" s="21" t="n">
        <v>0</v>
      </c>
      <c r="I25" s="22" t="n">
        <v>10</v>
      </c>
      <c r="J25" s="22" t="n">
        <v>6</v>
      </c>
      <c r="K25" s="21" t="n">
        <v>420000</v>
      </c>
      <c r="L25" s="11" t="n">
        <v>1</v>
      </c>
      <c r="M25" s="22" t="n">
        <v>0</v>
      </c>
      <c r="N25" s="22" t="n">
        <v>350</v>
      </c>
      <c r="O25" s="27" t="inlineStr">
        <is>
          <t>Sangat Rendah</t>
        </is>
      </c>
      <c r="P25" s="11" t="inlineStr">
        <is>
          <t>Kecil</t>
        </is>
      </c>
      <c r="Q25" s="21" t="n">
        <v>567000</v>
      </c>
      <c r="R25" s="21" t="n">
        <v>294000</v>
      </c>
      <c r="S25" s="21" t="n">
        <v>882000</v>
      </c>
      <c r="T25" s="21" t="n">
        <v>21000</v>
      </c>
      <c r="U25" s="21" t="n">
        <v>0</v>
      </c>
      <c r="V25" s="11" t="n">
        <v>0</v>
      </c>
    </row>
    <row r="26">
      <c r="B26" s="12" t="inlineStr">
        <is>
          <t>PT HPAL Ternate</t>
        </is>
      </c>
      <c r="C26" s="13" t="inlineStr">
        <is>
          <t>Maluku Utara</t>
        </is>
      </c>
      <c r="D26" s="13" t="inlineStr">
        <is>
          <t>MHP</t>
        </is>
      </c>
      <c r="E26" s="24" t="n">
        <v>33000</v>
      </c>
      <c r="F26" s="13" t="n">
        <v>2024</v>
      </c>
      <c r="G26" s="24" t="n">
        <v>92</v>
      </c>
      <c r="H26" s="24" t="n">
        <v>0</v>
      </c>
      <c r="I26" s="25" t="n">
        <v>10</v>
      </c>
      <c r="J26" s="25" t="n">
        <v>5</v>
      </c>
      <c r="K26" s="24" t="n">
        <v>330000</v>
      </c>
      <c r="L26" s="13" t="n">
        <v>1</v>
      </c>
      <c r="M26" s="25" t="n">
        <v>0</v>
      </c>
      <c r="N26" s="25" t="n">
        <v>358.7</v>
      </c>
      <c r="O26" s="27" t="inlineStr">
        <is>
          <t>Sangat Rendah</t>
        </is>
      </c>
      <c r="P26" s="13" t="inlineStr">
        <is>
          <t>Kecil</t>
        </is>
      </c>
      <c r="Q26" s="24" t="n">
        <v>445500</v>
      </c>
      <c r="R26" s="24" t="n">
        <v>231000</v>
      </c>
      <c r="S26" s="24" t="n">
        <v>693000</v>
      </c>
      <c r="T26" s="24" t="n">
        <v>16500</v>
      </c>
      <c r="U26" s="24" t="n">
        <v>0</v>
      </c>
      <c r="V26" s="13" t="n">
        <v>0</v>
      </c>
    </row>
    <row r="27">
      <c r="B27" s="10" t="inlineStr">
        <is>
          <t>PT IMIP Stainless</t>
        </is>
      </c>
      <c r="C27" s="11" t="inlineStr">
        <is>
          <t>Sulawesi Tengah</t>
        </is>
      </c>
      <c r="D27" s="11" t="inlineStr">
        <is>
          <t>NPI</t>
        </is>
      </c>
      <c r="E27" s="21" t="n">
        <v>800000</v>
      </c>
      <c r="F27" s="11" t="n">
        <v>2020</v>
      </c>
      <c r="G27" s="21" t="n">
        <v>4700</v>
      </c>
      <c r="H27" s="21" t="n">
        <v>4200</v>
      </c>
      <c r="I27" s="22" t="n">
        <v>68.40000000000001</v>
      </c>
      <c r="J27" s="22" t="n">
        <v>1.5</v>
      </c>
      <c r="K27" s="21" t="n">
        <v>54720000</v>
      </c>
      <c r="L27" s="11" t="n">
        <v>5</v>
      </c>
      <c r="M27" s="22" t="n">
        <v>0.89</v>
      </c>
      <c r="N27" s="22" t="n">
        <v>170.2</v>
      </c>
      <c r="O27" s="23" t="inlineStr">
        <is>
          <t>Tinggi</t>
        </is>
      </c>
      <c r="P27" s="11" t="inlineStr">
        <is>
          <t>Raksasa</t>
        </is>
      </c>
      <c r="Q27" s="21" t="n">
        <v>73872000</v>
      </c>
      <c r="R27" s="21" t="n">
        <v>38304000</v>
      </c>
      <c r="S27" s="21" t="n">
        <v>114912000</v>
      </c>
      <c r="T27" s="21" t="n">
        <v>2736000</v>
      </c>
      <c r="U27" s="21" t="n">
        <v>41581728</v>
      </c>
      <c r="V27" s="11" t="n">
        <v>0</v>
      </c>
    </row>
    <row r="28">
      <c r="B28" s="12" t="inlineStr">
        <is>
          <t>PT Virtue Dragon</t>
        </is>
      </c>
      <c r="C28" s="13" t="inlineStr">
        <is>
          <t>Sulawesi Tengah</t>
        </is>
      </c>
      <c r="D28" s="13" t="inlineStr">
        <is>
          <t>NPI</t>
        </is>
      </c>
      <c r="E28" s="24" t="n">
        <v>600000</v>
      </c>
      <c r="F28" s="13" t="n">
        <v>2019</v>
      </c>
      <c r="G28" s="24" t="n">
        <v>3500</v>
      </c>
      <c r="H28" s="24" t="n">
        <v>3200</v>
      </c>
      <c r="I28" s="25" t="n">
        <v>68.40000000000001</v>
      </c>
      <c r="J28" s="25" t="n">
        <v>1.5</v>
      </c>
      <c r="K28" s="24" t="n">
        <v>41040000</v>
      </c>
      <c r="L28" s="13" t="n">
        <v>6</v>
      </c>
      <c r="M28" s="25" t="n">
        <v>0.91</v>
      </c>
      <c r="N28" s="25" t="n">
        <v>171.4</v>
      </c>
      <c r="O28" s="23" t="inlineStr">
        <is>
          <t>Tinggi</t>
        </is>
      </c>
      <c r="P28" s="13" t="inlineStr">
        <is>
          <t>Raksasa</t>
        </is>
      </c>
      <c r="Q28" s="24" t="n">
        <v>55404000</v>
      </c>
      <c r="R28" s="24" t="n">
        <v>28728000</v>
      </c>
      <c r="S28" s="24" t="n">
        <v>86184000</v>
      </c>
      <c r="T28" s="24" t="n">
        <v>2052000</v>
      </c>
      <c r="U28" s="24" t="n">
        <v>31883976</v>
      </c>
      <c r="V28" s="13" t="n">
        <v>0</v>
      </c>
    </row>
    <row r="29">
      <c r="B29" s="10" t="inlineStr">
        <is>
          <t>PT Gunbuster Nickel</t>
        </is>
      </c>
      <c r="C29" s="11" t="inlineStr">
        <is>
          <t>Sulawesi Tengah</t>
        </is>
      </c>
      <c r="D29" s="11" t="inlineStr">
        <is>
          <t>NPI</t>
        </is>
      </c>
      <c r="E29" s="21" t="n">
        <v>500000</v>
      </c>
      <c r="F29" s="11" t="n">
        <v>2020</v>
      </c>
      <c r="G29" s="21" t="n">
        <v>3000</v>
      </c>
      <c r="H29" s="21" t="n">
        <v>2700</v>
      </c>
      <c r="I29" s="22" t="n">
        <v>68.40000000000001</v>
      </c>
      <c r="J29" s="22" t="n">
        <v>1.5</v>
      </c>
      <c r="K29" s="21" t="n">
        <v>34200000</v>
      </c>
      <c r="L29" s="11" t="n">
        <v>5</v>
      </c>
      <c r="M29" s="22" t="n">
        <v>0.9</v>
      </c>
      <c r="N29" s="22" t="n">
        <v>166.7</v>
      </c>
      <c r="O29" s="23" t="inlineStr">
        <is>
          <t>Tinggi</t>
        </is>
      </c>
      <c r="P29" s="11" t="inlineStr">
        <is>
          <t>Raksasa</t>
        </is>
      </c>
      <c r="Q29" s="21" t="n">
        <v>46170000</v>
      </c>
      <c r="R29" s="21" t="n">
        <v>23940000</v>
      </c>
      <c r="S29" s="21" t="n">
        <v>71820000</v>
      </c>
      <c r="T29" s="21" t="n">
        <v>1710000</v>
      </c>
      <c r="U29" s="21" t="n">
        <v>26163000</v>
      </c>
      <c r="V29" s="11" t="n">
        <v>0</v>
      </c>
    </row>
    <row r="30">
      <c r="B30" s="12" t="inlineStr">
        <is>
          <t>PT Morowali Steel</t>
        </is>
      </c>
      <c r="C30" s="13" t="inlineStr">
        <is>
          <t>Sulawesi Tengah</t>
        </is>
      </c>
      <c r="D30" s="13" t="inlineStr">
        <is>
          <t>NPI</t>
        </is>
      </c>
      <c r="E30" s="24" t="n">
        <v>450000</v>
      </c>
      <c r="F30" s="13" t="n">
        <v>2019</v>
      </c>
      <c r="G30" s="24" t="n">
        <v>2634</v>
      </c>
      <c r="H30" s="24" t="n">
        <v>2370</v>
      </c>
      <c r="I30" s="25" t="n">
        <v>68.40000000000001</v>
      </c>
      <c r="J30" s="25" t="n">
        <v>1.5</v>
      </c>
      <c r="K30" s="24" t="n">
        <v>30780000</v>
      </c>
      <c r="L30" s="13" t="n">
        <v>6</v>
      </c>
      <c r="M30" s="25" t="n">
        <v>0.9</v>
      </c>
      <c r="N30" s="25" t="n">
        <v>170.8</v>
      </c>
      <c r="O30" s="23" t="inlineStr">
        <is>
          <t>Tinggi</t>
        </is>
      </c>
      <c r="P30" s="13" t="inlineStr">
        <is>
          <t>Besar</t>
        </is>
      </c>
      <c r="Q30" s="24" t="n">
        <v>41553000</v>
      </c>
      <c r="R30" s="24" t="n">
        <v>21546000</v>
      </c>
      <c r="S30" s="24" t="n">
        <v>64638000</v>
      </c>
      <c r="T30" s="24" t="n">
        <v>1539000</v>
      </c>
      <c r="U30" s="24" t="n">
        <v>23546700</v>
      </c>
      <c r="V30" s="13" t="n">
        <v>0</v>
      </c>
    </row>
    <row r="31">
      <c r="B31" s="10" t="inlineStr">
        <is>
          <t>PT IMIP Smelter A</t>
        </is>
      </c>
      <c r="C31" s="11" t="inlineStr">
        <is>
          <t>Sulawesi Tengah</t>
        </is>
      </c>
      <c r="D31" s="11" t="inlineStr">
        <is>
          <t>NPI</t>
        </is>
      </c>
      <c r="E31" s="21" t="n">
        <v>350000</v>
      </c>
      <c r="F31" s="11" t="n">
        <v>2018</v>
      </c>
      <c r="G31" s="21" t="n">
        <v>2000</v>
      </c>
      <c r="H31" s="21" t="n">
        <v>1800</v>
      </c>
      <c r="I31" s="22" t="n">
        <v>68.40000000000001</v>
      </c>
      <c r="J31" s="22" t="n">
        <v>1.5</v>
      </c>
      <c r="K31" s="21" t="n">
        <v>23940000</v>
      </c>
      <c r="L31" s="11" t="n">
        <v>7</v>
      </c>
      <c r="M31" s="22" t="n">
        <v>0.9</v>
      </c>
      <c r="N31" s="22" t="n">
        <v>175</v>
      </c>
      <c r="O31" s="23" t="inlineStr">
        <is>
          <t>Tinggi</t>
        </is>
      </c>
      <c r="P31" s="11" t="inlineStr">
        <is>
          <t>Besar</t>
        </is>
      </c>
      <c r="Q31" s="21" t="n">
        <v>32319000</v>
      </c>
      <c r="R31" s="21" t="n">
        <v>16758000</v>
      </c>
      <c r="S31" s="21" t="n">
        <v>50274000</v>
      </c>
      <c r="T31" s="21" t="n">
        <v>1197000</v>
      </c>
      <c r="U31" s="21" t="n">
        <v>18314100</v>
      </c>
      <c r="V31" s="11" t="n">
        <v>0</v>
      </c>
    </row>
    <row r="32">
      <c r="B32" s="12" t="inlineStr">
        <is>
          <t>PT Itss</t>
        </is>
      </c>
      <c r="C32" s="13" t="inlineStr">
        <is>
          <t>Sulawesi Tengah</t>
        </is>
      </c>
      <c r="D32" s="13" t="inlineStr">
        <is>
          <t>NPI</t>
        </is>
      </c>
      <c r="E32" s="24" t="n">
        <v>300000</v>
      </c>
      <c r="F32" s="13" t="n">
        <v>2021</v>
      </c>
      <c r="G32" s="24" t="n">
        <v>1750</v>
      </c>
      <c r="H32" s="24" t="n">
        <v>1600</v>
      </c>
      <c r="I32" s="25" t="n">
        <v>68.40000000000001</v>
      </c>
      <c r="J32" s="25" t="n">
        <v>1.5</v>
      </c>
      <c r="K32" s="24" t="n">
        <v>20520000</v>
      </c>
      <c r="L32" s="13" t="n">
        <v>4</v>
      </c>
      <c r="M32" s="25" t="n">
        <v>0.91</v>
      </c>
      <c r="N32" s="25" t="n">
        <v>171.4</v>
      </c>
      <c r="O32" s="23" t="inlineStr">
        <is>
          <t>Tinggi</t>
        </is>
      </c>
      <c r="P32" s="13" t="inlineStr">
        <is>
          <t>Besar</t>
        </is>
      </c>
      <c r="Q32" s="24" t="n">
        <v>27702000</v>
      </c>
      <c r="R32" s="24" t="n">
        <v>14364000</v>
      </c>
      <c r="S32" s="24" t="n">
        <v>43092000</v>
      </c>
      <c r="T32" s="24" t="n">
        <v>1026000</v>
      </c>
      <c r="U32" s="24" t="n">
        <v>15941988</v>
      </c>
      <c r="V32" s="13" t="n">
        <v>0</v>
      </c>
    </row>
    <row r="33">
      <c r="B33" s="10" t="inlineStr">
        <is>
          <t>PT IMIP Smelter B</t>
        </is>
      </c>
      <c r="C33" s="11" t="inlineStr">
        <is>
          <t>Sulawesi Tengah</t>
        </is>
      </c>
      <c r="D33" s="11" t="inlineStr">
        <is>
          <t>NPI</t>
        </is>
      </c>
      <c r="E33" s="21" t="n">
        <v>280000</v>
      </c>
      <c r="F33" s="11" t="n">
        <v>2019</v>
      </c>
      <c r="G33" s="21" t="n">
        <v>1600</v>
      </c>
      <c r="H33" s="21" t="n">
        <v>1400</v>
      </c>
      <c r="I33" s="22" t="n">
        <v>68.40000000000001</v>
      </c>
      <c r="J33" s="22" t="n">
        <v>1.5</v>
      </c>
      <c r="K33" s="21" t="n">
        <v>19152000</v>
      </c>
      <c r="L33" s="11" t="n">
        <v>6</v>
      </c>
      <c r="M33" s="22" t="n">
        <v>0.88</v>
      </c>
      <c r="N33" s="22" t="n">
        <v>175</v>
      </c>
      <c r="O33" s="23" t="inlineStr">
        <is>
          <t>Tinggi</t>
        </is>
      </c>
      <c r="P33" s="11" t="inlineStr">
        <is>
          <t>Besar</t>
        </is>
      </c>
      <c r="Q33" s="21" t="n">
        <v>25855200</v>
      </c>
      <c r="R33" s="21" t="n">
        <v>13406400</v>
      </c>
      <c r="S33" s="21" t="n">
        <v>40219200</v>
      </c>
      <c r="T33" s="21" t="n">
        <v>957600</v>
      </c>
      <c r="U33" s="21" t="n">
        <v>14244300</v>
      </c>
      <c r="V33" s="11" t="n">
        <v>0</v>
      </c>
    </row>
    <row r="34">
      <c r="B34" s="12" t="inlineStr">
        <is>
          <t>PT Morowali I</t>
        </is>
      </c>
      <c r="C34" s="13" t="inlineStr">
        <is>
          <t>Sulawesi Tengah</t>
        </is>
      </c>
      <c r="D34" s="13" t="inlineStr">
        <is>
          <t>NPI</t>
        </is>
      </c>
      <c r="E34" s="24" t="n">
        <v>250000</v>
      </c>
      <c r="F34" s="13" t="n">
        <v>2020</v>
      </c>
      <c r="G34" s="24" t="n">
        <v>1450</v>
      </c>
      <c r="H34" s="24" t="n">
        <v>1300</v>
      </c>
      <c r="I34" s="25" t="n">
        <v>68.40000000000001</v>
      </c>
      <c r="J34" s="25" t="n">
        <v>1.5</v>
      </c>
      <c r="K34" s="24" t="n">
        <v>17100000</v>
      </c>
      <c r="L34" s="13" t="n">
        <v>5</v>
      </c>
      <c r="M34" s="25" t="n">
        <v>0.9</v>
      </c>
      <c r="N34" s="25" t="n">
        <v>172.4</v>
      </c>
      <c r="O34" s="23" t="inlineStr">
        <is>
          <t>Tinggi</t>
        </is>
      </c>
      <c r="P34" s="13" t="inlineStr">
        <is>
          <t>Besar</t>
        </is>
      </c>
      <c r="Q34" s="24" t="n">
        <v>23085000</v>
      </c>
      <c r="R34" s="24" t="n">
        <v>11970000</v>
      </c>
      <c r="S34" s="24" t="n">
        <v>35910000</v>
      </c>
      <c r="T34" s="24" t="n">
        <v>855000</v>
      </c>
      <c r="U34" s="24" t="n">
        <v>13037895</v>
      </c>
      <c r="V34" s="13" t="n">
        <v>0</v>
      </c>
    </row>
    <row r="35">
      <c r="B35" s="10" t="inlineStr">
        <is>
          <t>PT Dexin Steel</t>
        </is>
      </c>
      <c r="C35" s="11" t="inlineStr">
        <is>
          <t>Sulawesi Tengah</t>
        </is>
      </c>
      <c r="D35" s="11" t="inlineStr">
        <is>
          <t>NPI</t>
        </is>
      </c>
      <c r="E35" s="21" t="n">
        <v>240000</v>
      </c>
      <c r="F35" s="11" t="n">
        <v>2022</v>
      </c>
      <c r="G35" s="21" t="n">
        <v>1400</v>
      </c>
      <c r="H35" s="21" t="n">
        <v>1250</v>
      </c>
      <c r="I35" s="22" t="n">
        <v>68.40000000000001</v>
      </c>
      <c r="J35" s="22" t="n">
        <v>1.5</v>
      </c>
      <c r="K35" s="21" t="n">
        <v>16416000</v>
      </c>
      <c r="L35" s="11" t="n">
        <v>3</v>
      </c>
      <c r="M35" s="22" t="n">
        <v>0.89</v>
      </c>
      <c r="N35" s="22" t="n">
        <v>171.4</v>
      </c>
      <c r="O35" s="23" t="inlineStr">
        <is>
          <t>Tinggi</t>
        </is>
      </c>
      <c r="P35" s="11" t="inlineStr">
        <is>
          <t>Besar</t>
        </is>
      </c>
      <c r="Q35" s="21" t="n">
        <v>22161600</v>
      </c>
      <c r="R35" s="21" t="n">
        <v>11491200</v>
      </c>
      <c r="S35" s="21" t="n">
        <v>34473600</v>
      </c>
      <c r="T35" s="21" t="n">
        <v>820800</v>
      </c>
      <c r="U35" s="21" t="n">
        <v>12460565</v>
      </c>
      <c r="V35" s="11" t="n">
        <v>0</v>
      </c>
    </row>
    <row r="36">
      <c r="B36" s="12" t="inlineStr">
        <is>
          <t>PT Nickel Mines A</t>
        </is>
      </c>
      <c r="C36" s="13" t="inlineStr">
        <is>
          <t>Sulawesi Tengah</t>
        </is>
      </c>
      <c r="D36" s="13" t="inlineStr">
        <is>
          <t>NPI</t>
        </is>
      </c>
      <c r="E36" s="24" t="n">
        <v>220000</v>
      </c>
      <c r="F36" s="13" t="n">
        <v>2020</v>
      </c>
      <c r="G36" s="24" t="n">
        <v>1280</v>
      </c>
      <c r="H36" s="24" t="n">
        <v>1150</v>
      </c>
      <c r="I36" s="25" t="n">
        <v>68.40000000000001</v>
      </c>
      <c r="J36" s="25" t="n">
        <v>1.5</v>
      </c>
      <c r="K36" s="24" t="n">
        <v>15048000</v>
      </c>
      <c r="L36" s="13" t="n">
        <v>5</v>
      </c>
      <c r="M36" s="25" t="n">
        <v>0.9</v>
      </c>
      <c r="N36" s="25" t="n">
        <v>171.9</v>
      </c>
      <c r="O36" s="23" t="inlineStr">
        <is>
          <t>Tinggi</t>
        </is>
      </c>
      <c r="P36" s="13" t="inlineStr">
        <is>
          <t>Besar</t>
        </is>
      </c>
      <c r="Q36" s="24" t="n">
        <v>20314800</v>
      </c>
      <c r="R36" s="24" t="n">
        <v>10533600</v>
      </c>
      <c r="S36" s="24" t="n">
        <v>31600800</v>
      </c>
      <c r="T36" s="24" t="n">
        <v>752400</v>
      </c>
      <c r="U36" s="24" t="n">
        <v>11486138</v>
      </c>
      <c r="V36" s="13" t="n">
        <v>0</v>
      </c>
    </row>
    <row r="37">
      <c r="B37" s="10" t="inlineStr">
        <is>
          <t>PT Lestari Bumi</t>
        </is>
      </c>
      <c r="C37" s="11" t="inlineStr">
        <is>
          <t>Sulawesi Tengah</t>
        </is>
      </c>
      <c r="D37" s="11" t="inlineStr">
        <is>
          <t>NPI</t>
        </is>
      </c>
      <c r="E37" s="21" t="n">
        <v>200000</v>
      </c>
      <c r="F37" s="11" t="n">
        <v>2022</v>
      </c>
      <c r="G37" s="21" t="n">
        <v>1173</v>
      </c>
      <c r="H37" s="21" t="n">
        <v>1055</v>
      </c>
      <c r="I37" s="22" t="n">
        <v>68.40000000000001</v>
      </c>
      <c r="J37" s="22" t="n">
        <v>1.5</v>
      </c>
      <c r="K37" s="21" t="n">
        <v>13680000</v>
      </c>
      <c r="L37" s="11" t="n">
        <v>3</v>
      </c>
      <c r="M37" s="22" t="n">
        <v>0.9</v>
      </c>
      <c r="N37" s="22" t="n">
        <v>170.5</v>
      </c>
      <c r="O37" s="23" t="inlineStr">
        <is>
          <t>Tinggi</t>
        </is>
      </c>
      <c r="P37" s="11" t="inlineStr">
        <is>
          <t>Besar</t>
        </is>
      </c>
      <c r="Q37" s="21" t="n">
        <v>18468000</v>
      </c>
      <c r="R37" s="21" t="n">
        <v>9576000</v>
      </c>
      <c r="S37" s="21" t="n">
        <v>28728000</v>
      </c>
      <c r="T37" s="21" t="n">
        <v>684000</v>
      </c>
      <c r="U37" s="21" t="n">
        <v>10453572</v>
      </c>
      <c r="V37" s="11" t="n">
        <v>0</v>
      </c>
    </row>
    <row r="38">
      <c r="B38" s="12" t="inlineStr">
        <is>
          <t>PT Morowali II</t>
        </is>
      </c>
      <c r="C38" s="13" t="inlineStr">
        <is>
          <t>Sulawesi Tengah</t>
        </is>
      </c>
      <c r="D38" s="13" t="inlineStr">
        <is>
          <t>NPI</t>
        </is>
      </c>
      <c r="E38" s="24" t="n">
        <v>200000</v>
      </c>
      <c r="F38" s="13" t="n">
        <v>2021</v>
      </c>
      <c r="G38" s="24" t="n">
        <v>1200</v>
      </c>
      <c r="H38" s="24" t="n">
        <v>1050</v>
      </c>
      <c r="I38" s="25" t="n">
        <v>68.40000000000001</v>
      </c>
      <c r="J38" s="25" t="n">
        <v>1.5</v>
      </c>
      <c r="K38" s="24" t="n">
        <v>13680000</v>
      </c>
      <c r="L38" s="13" t="n">
        <v>4</v>
      </c>
      <c r="M38" s="25" t="n">
        <v>0.88</v>
      </c>
      <c r="N38" s="25" t="n">
        <v>166.7</v>
      </c>
      <c r="O38" s="23" t="inlineStr">
        <is>
          <t>Tinggi</t>
        </is>
      </c>
      <c r="P38" s="13" t="inlineStr">
        <is>
          <t>Besar</t>
        </is>
      </c>
      <c r="Q38" s="24" t="n">
        <v>18468000</v>
      </c>
      <c r="R38" s="24" t="n">
        <v>9576000</v>
      </c>
      <c r="S38" s="24" t="n">
        <v>28728000</v>
      </c>
      <c r="T38" s="24" t="n">
        <v>684000</v>
      </c>
      <c r="U38" s="24" t="n">
        <v>10174500</v>
      </c>
      <c r="V38" s="13" t="n">
        <v>0</v>
      </c>
    </row>
    <row r="39">
      <c r="B39" s="10" t="inlineStr">
        <is>
          <t>PT Nickel Mines B</t>
        </is>
      </c>
      <c r="C39" s="11" t="inlineStr">
        <is>
          <t>Sulawesi Tengah</t>
        </is>
      </c>
      <c r="D39" s="11" t="inlineStr">
        <is>
          <t>NPI</t>
        </is>
      </c>
      <c r="E39" s="21" t="n">
        <v>195000</v>
      </c>
      <c r="F39" s="11" t="n">
        <v>2021</v>
      </c>
      <c r="G39" s="21" t="n">
        <v>1130</v>
      </c>
      <c r="H39" s="21" t="n">
        <v>1020</v>
      </c>
      <c r="I39" s="22" t="n">
        <v>68.40000000000001</v>
      </c>
      <c r="J39" s="22" t="n">
        <v>1.5</v>
      </c>
      <c r="K39" s="21" t="n">
        <v>13338000</v>
      </c>
      <c r="L39" s="11" t="n">
        <v>4</v>
      </c>
      <c r="M39" s="22" t="n">
        <v>0.9</v>
      </c>
      <c r="N39" s="22" t="n">
        <v>172.6</v>
      </c>
      <c r="O39" s="23" t="inlineStr">
        <is>
          <t>Tinggi</t>
        </is>
      </c>
      <c r="P39" s="11" t="inlineStr">
        <is>
          <t>Menengah</t>
        </is>
      </c>
      <c r="Q39" s="21" t="n">
        <v>18006300</v>
      </c>
      <c r="R39" s="21" t="n">
        <v>9336600</v>
      </c>
      <c r="S39" s="21" t="n">
        <v>28009800</v>
      </c>
      <c r="T39" s="21" t="n">
        <v>666900</v>
      </c>
      <c r="U39" s="21" t="n">
        <v>10237582</v>
      </c>
      <c r="V39" s="11" t="n">
        <v>0</v>
      </c>
    </row>
    <row r="40">
      <c r="B40" s="12" t="inlineStr">
        <is>
          <t>PT OSS Sulteng</t>
        </is>
      </c>
      <c r="C40" s="13" t="inlineStr">
        <is>
          <t>Sulawesi Tengah</t>
        </is>
      </c>
      <c r="D40" s="13" t="inlineStr">
        <is>
          <t>NPI</t>
        </is>
      </c>
      <c r="E40" s="24" t="n">
        <v>180000</v>
      </c>
      <c r="F40" s="13" t="n">
        <v>2022</v>
      </c>
      <c r="G40" s="24" t="n">
        <v>1050</v>
      </c>
      <c r="H40" s="24" t="n">
        <v>950</v>
      </c>
      <c r="I40" s="25" t="n">
        <v>68.40000000000001</v>
      </c>
      <c r="J40" s="25" t="n">
        <v>1.5</v>
      </c>
      <c r="K40" s="24" t="n">
        <v>12312000</v>
      </c>
      <c r="L40" s="13" t="n">
        <v>3</v>
      </c>
      <c r="M40" s="25" t="n">
        <v>0.91</v>
      </c>
      <c r="N40" s="25" t="n">
        <v>171.4</v>
      </c>
      <c r="O40" s="23" t="inlineStr">
        <is>
          <t>Tinggi</t>
        </is>
      </c>
      <c r="P40" s="13" t="inlineStr">
        <is>
          <t>Menengah</t>
        </is>
      </c>
      <c r="Q40" s="24" t="n">
        <v>16621200</v>
      </c>
      <c r="R40" s="24" t="n">
        <v>8618400</v>
      </c>
      <c r="S40" s="24" t="n">
        <v>25855200</v>
      </c>
      <c r="T40" s="24" t="n">
        <v>615600</v>
      </c>
      <c r="U40" s="24" t="n">
        <v>9471006</v>
      </c>
      <c r="V40" s="13" t="n">
        <v>0</v>
      </c>
    </row>
    <row r="41">
      <c r="B41" s="10" t="inlineStr">
        <is>
          <t>PT Morowali III</t>
        </is>
      </c>
      <c r="C41" s="11" t="inlineStr">
        <is>
          <t>Sulawesi Tengah</t>
        </is>
      </c>
      <c r="D41" s="11" t="inlineStr">
        <is>
          <t>NPI</t>
        </is>
      </c>
      <c r="E41" s="21" t="n">
        <v>170000</v>
      </c>
      <c r="F41" s="11" t="n">
        <v>2023</v>
      </c>
      <c r="G41" s="21" t="n">
        <v>995</v>
      </c>
      <c r="H41" s="21" t="n">
        <v>895</v>
      </c>
      <c r="I41" s="22" t="n">
        <v>68.40000000000001</v>
      </c>
      <c r="J41" s="22" t="n">
        <v>1.5</v>
      </c>
      <c r="K41" s="21" t="n">
        <v>11628000</v>
      </c>
      <c r="L41" s="11" t="n">
        <v>2</v>
      </c>
      <c r="M41" s="22" t="n">
        <v>0.9</v>
      </c>
      <c r="N41" s="22" t="n">
        <v>170.9</v>
      </c>
      <c r="O41" s="23" t="inlineStr">
        <is>
          <t>Tinggi</t>
        </is>
      </c>
      <c r="P41" s="11" t="inlineStr">
        <is>
          <t>Menengah</t>
        </is>
      </c>
      <c r="Q41" s="21" t="n">
        <v>15697800</v>
      </c>
      <c r="R41" s="21" t="n">
        <v>8139600</v>
      </c>
      <c r="S41" s="21" t="n">
        <v>24418800</v>
      </c>
      <c r="T41" s="21" t="n">
        <v>581400</v>
      </c>
      <c r="U41" s="21" t="n">
        <v>8885536</v>
      </c>
      <c r="V41" s="11" t="n">
        <v>0</v>
      </c>
    </row>
    <row r="42">
      <c r="B42" s="12" t="inlineStr">
        <is>
          <t>PT Bumi Morowali</t>
        </is>
      </c>
      <c r="C42" s="13" t="inlineStr">
        <is>
          <t>Sulawesi Tengah</t>
        </is>
      </c>
      <c r="D42" s="13" t="inlineStr">
        <is>
          <t>NPI</t>
        </is>
      </c>
      <c r="E42" s="24" t="n">
        <v>165000</v>
      </c>
      <c r="F42" s="13" t="n">
        <v>2023</v>
      </c>
      <c r="G42" s="24" t="n">
        <v>967</v>
      </c>
      <c r="H42" s="24" t="n">
        <v>870</v>
      </c>
      <c r="I42" s="25" t="n">
        <v>68.40000000000001</v>
      </c>
      <c r="J42" s="25" t="n">
        <v>1.5</v>
      </c>
      <c r="K42" s="24" t="n">
        <v>11286000</v>
      </c>
      <c r="L42" s="13" t="n">
        <v>2</v>
      </c>
      <c r="M42" s="25" t="n">
        <v>0.9</v>
      </c>
      <c r="N42" s="25" t="n">
        <v>170.6</v>
      </c>
      <c r="O42" s="23" t="inlineStr">
        <is>
          <t>Tinggi</t>
        </is>
      </c>
      <c r="P42" s="13" t="inlineStr">
        <is>
          <t>Menengah</t>
        </is>
      </c>
      <c r="Q42" s="24" t="n">
        <v>15236100</v>
      </c>
      <c r="R42" s="24" t="n">
        <v>7900200</v>
      </c>
      <c r="S42" s="24" t="n">
        <v>23700600</v>
      </c>
      <c r="T42" s="24" t="n">
        <v>564300</v>
      </c>
      <c r="U42" s="24" t="n">
        <v>8633790</v>
      </c>
      <c r="V42" s="13" t="n">
        <v>0</v>
      </c>
    </row>
    <row r="43">
      <c r="B43" s="10" t="inlineStr">
        <is>
          <t>PT Bintang Delapan</t>
        </is>
      </c>
      <c r="C43" s="11" t="inlineStr">
        <is>
          <t>Sulawesi Tengah</t>
        </is>
      </c>
      <c r="D43" s="11" t="inlineStr">
        <is>
          <t>NPI</t>
        </is>
      </c>
      <c r="E43" s="21" t="n">
        <v>150000</v>
      </c>
      <c r="F43" s="11" t="n">
        <v>2022</v>
      </c>
      <c r="G43" s="21" t="n">
        <v>880</v>
      </c>
      <c r="H43" s="21" t="n">
        <v>800</v>
      </c>
      <c r="I43" s="22" t="n">
        <v>68.40000000000001</v>
      </c>
      <c r="J43" s="22" t="n">
        <v>1.5</v>
      </c>
      <c r="K43" s="21" t="n">
        <v>10260000</v>
      </c>
      <c r="L43" s="11" t="n">
        <v>3</v>
      </c>
      <c r="M43" s="22" t="n">
        <v>0.91</v>
      </c>
      <c r="N43" s="22" t="n">
        <v>170.5</v>
      </c>
      <c r="O43" s="23" t="inlineStr">
        <is>
          <t>Tinggi</t>
        </is>
      </c>
      <c r="P43" s="11" t="inlineStr">
        <is>
          <t>Menengah</t>
        </is>
      </c>
      <c r="Q43" s="21" t="n">
        <v>13851000</v>
      </c>
      <c r="R43" s="21" t="n">
        <v>7182000</v>
      </c>
      <c r="S43" s="21" t="n">
        <v>21546000</v>
      </c>
      <c r="T43" s="21" t="n">
        <v>513000</v>
      </c>
      <c r="U43" s="21" t="n">
        <v>7927389</v>
      </c>
      <c r="V43" s="11" t="n">
        <v>0</v>
      </c>
    </row>
    <row r="44">
      <c r="B44" s="12" t="inlineStr">
        <is>
          <t>PT Morowali IV</t>
        </is>
      </c>
      <c r="C44" s="13" t="inlineStr">
        <is>
          <t>Sulawesi Tengah</t>
        </is>
      </c>
      <c r="D44" s="13" t="inlineStr">
        <is>
          <t>NPI</t>
        </is>
      </c>
      <c r="E44" s="24" t="n">
        <v>140000</v>
      </c>
      <c r="F44" s="13" t="n">
        <v>2024</v>
      </c>
      <c r="G44" s="24" t="n">
        <v>821</v>
      </c>
      <c r="H44" s="24" t="n">
        <v>738</v>
      </c>
      <c r="I44" s="25" t="n">
        <v>68.40000000000001</v>
      </c>
      <c r="J44" s="25" t="n">
        <v>1.5</v>
      </c>
      <c r="K44" s="24" t="n">
        <v>9576000</v>
      </c>
      <c r="L44" s="13" t="n">
        <v>1</v>
      </c>
      <c r="M44" s="25" t="n">
        <v>0.9</v>
      </c>
      <c r="N44" s="25" t="n">
        <v>170.5</v>
      </c>
      <c r="O44" s="23" t="inlineStr">
        <is>
          <t>Tinggi</t>
        </is>
      </c>
      <c r="P44" s="13" t="inlineStr">
        <is>
          <t>Menengah</t>
        </is>
      </c>
      <c r="Q44" s="24" t="n">
        <v>12927600</v>
      </c>
      <c r="R44" s="24" t="n">
        <v>6703200</v>
      </c>
      <c r="S44" s="24" t="n">
        <v>20109600</v>
      </c>
      <c r="T44" s="24" t="n">
        <v>478800</v>
      </c>
      <c r="U44" s="24" t="n">
        <v>7317500</v>
      </c>
      <c r="V44" s="13" t="n">
        <v>0</v>
      </c>
    </row>
    <row r="45">
      <c r="B45" s="10" t="inlineStr">
        <is>
          <t>PT Central Nickel</t>
        </is>
      </c>
      <c r="C45" s="11" t="inlineStr">
        <is>
          <t>Sulawesi Tengah</t>
        </is>
      </c>
      <c r="D45" s="11" t="inlineStr">
        <is>
          <t>NPI</t>
        </is>
      </c>
      <c r="E45" s="21" t="n">
        <v>130000</v>
      </c>
      <c r="F45" s="11" t="n">
        <v>2024</v>
      </c>
      <c r="G45" s="21" t="n">
        <v>762</v>
      </c>
      <c r="H45" s="21" t="n">
        <v>685</v>
      </c>
      <c r="I45" s="22" t="n">
        <v>68.40000000000001</v>
      </c>
      <c r="J45" s="22" t="n">
        <v>1.5</v>
      </c>
      <c r="K45" s="21" t="n">
        <v>8892000</v>
      </c>
      <c r="L45" s="11" t="n">
        <v>1</v>
      </c>
      <c r="M45" s="22" t="n">
        <v>0.9</v>
      </c>
      <c r="N45" s="22" t="n">
        <v>170.6</v>
      </c>
      <c r="O45" s="23" t="inlineStr">
        <is>
          <t>Tinggi</t>
        </is>
      </c>
      <c r="P45" s="11" t="inlineStr">
        <is>
          <t>Menengah</t>
        </is>
      </c>
      <c r="Q45" s="21" t="n">
        <v>12004200</v>
      </c>
      <c r="R45" s="21" t="n">
        <v>6224400</v>
      </c>
      <c r="S45" s="21" t="n">
        <v>18673200</v>
      </c>
      <c r="T45" s="21" t="n">
        <v>444600</v>
      </c>
      <c r="U45" s="21" t="n">
        <v>6794822</v>
      </c>
      <c r="V45" s="11" t="n">
        <v>0</v>
      </c>
    </row>
    <row r="46">
      <c r="B46" s="12" t="inlineStr">
        <is>
          <t>PT Central Omega</t>
        </is>
      </c>
      <c r="C46" s="13" t="inlineStr">
        <is>
          <t>Sulawesi Tengah</t>
        </is>
      </c>
      <c r="D46" s="13" t="inlineStr">
        <is>
          <t>NPI</t>
        </is>
      </c>
      <c r="E46" s="24" t="n">
        <v>100000</v>
      </c>
      <c r="F46" s="13" t="n">
        <v>2022</v>
      </c>
      <c r="G46" s="24" t="n">
        <v>600</v>
      </c>
      <c r="H46" s="24" t="n">
        <v>520</v>
      </c>
      <c r="I46" s="25" t="n">
        <v>68.40000000000001</v>
      </c>
      <c r="J46" s="25" t="n">
        <v>1.5</v>
      </c>
      <c r="K46" s="24" t="n">
        <v>6840000</v>
      </c>
      <c r="L46" s="13" t="n">
        <v>3</v>
      </c>
      <c r="M46" s="25" t="n">
        <v>0.87</v>
      </c>
      <c r="N46" s="25" t="n">
        <v>166.7</v>
      </c>
      <c r="O46" s="23" t="inlineStr">
        <is>
          <t>Tinggi</t>
        </is>
      </c>
      <c r="P46" s="13" t="inlineStr">
        <is>
          <t>Menengah</t>
        </is>
      </c>
      <c r="Q46" s="24" t="n">
        <v>9234000</v>
      </c>
      <c r="R46" s="24" t="n">
        <v>4788000</v>
      </c>
      <c r="S46" s="24" t="n">
        <v>14364000</v>
      </c>
      <c r="T46" s="24" t="n">
        <v>342000</v>
      </c>
      <c r="U46" s="24" t="n">
        <v>5040738</v>
      </c>
      <c r="V46" s="13" t="n">
        <v>0</v>
      </c>
    </row>
    <row r="47">
      <c r="B47" s="10" t="inlineStr">
        <is>
          <t>PT Resource Alam</t>
        </is>
      </c>
      <c r="C47" s="11" t="inlineStr">
        <is>
          <t>Sulawesi Tengah</t>
        </is>
      </c>
      <c r="D47" s="11" t="inlineStr">
        <is>
          <t>NPI</t>
        </is>
      </c>
      <c r="E47" s="21" t="n">
        <v>90000</v>
      </c>
      <c r="F47" s="11" t="n">
        <v>2023</v>
      </c>
      <c r="G47" s="21" t="n">
        <v>520</v>
      </c>
      <c r="H47" s="21" t="n">
        <v>470</v>
      </c>
      <c r="I47" s="22" t="n">
        <v>68.40000000000001</v>
      </c>
      <c r="J47" s="22" t="n">
        <v>1.5</v>
      </c>
      <c r="K47" s="21" t="n">
        <v>6156000</v>
      </c>
      <c r="L47" s="11" t="n">
        <v>2</v>
      </c>
      <c r="M47" s="22" t="n">
        <v>0.9</v>
      </c>
      <c r="N47" s="22" t="n">
        <v>173.1</v>
      </c>
      <c r="O47" s="23" t="inlineStr">
        <is>
          <t>Tinggi</t>
        </is>
      </c>
      <c r="P47" s="11" t="inlineStr">
        <is>
          <t>Menengah</t>
        </is>
      </c>
      <c r="Q47" s="21" t="n">
        <v>8310600</v>
      </c>
      <c r="R47" s="21" t="n">
        <v>4309200</v>
      </c>
      <c r="S47" s="21" t="n">
        <v>12927600</v>
      </c>
      <c r="T47" s="21" t="n">
        <v>307800</v>
      </c>
      <c r="U47" s="21" t="n">
        <v>4730270</v>
      </c>
      <c r="V47" s="11" t="n">
        <v>0</v>
      </c>
    </row>
    <row r="48">
      <c r="B48" s="12" t="inlineStr">
        <is>
          <t>PT Rigqueza</t>
        </is>
      </c>
      <c r="C48" s="13" t="inlineStr">
        <is>
          <t>Sulawesi Tengah</t>
        </is>
      </c>
      <c r="D48" s="13" t="inlineStr">
        <is>
          <t>NPI</t>
        </is>
      </c>
      <c r="E48" s="24" t="n">
        <v>75000</v>
      </c>
      <c r="F48" s="13" t="n">
        <v>2023</v>
      </c>
      <c r="G48" s="24" t="n">
        <v>430</v>
      </c>
      <c r="H48" s="24" t="n">
        <v>390</v>
      </c>
      <c r="I48" s="25" t="n">
        <v>68.40000000000001</v>
      </c>
      <c r="J48" s="25" t="n">
        <v>1.5</v>
      </c>
      <c r="K48" s="24" t="n">
        <v>5130000</v>
      </c>
      <c r="L48" s="13" t="n">
        <v>2</v>
      </c>
      <c r="M48" s="25" t="n">
        <v>0.91</v>
      </c>
      <c r="N48" s="25" t="n">
        <v>174.4</v>
      </c>
      <c r="O48" s="23" t="inlineStr">
        <is>
          <t>Tinggi</t>
        </is>
      </c>
      <c r="P48" s="13" t="inlineStr">
        <is>
          <t>Kecil</t>
        </is>
      </c>
      <c r="Q48" s="24" t="n">
        <v>6925500</v>
      </c>
      <c r="R48" s="24" t="n">
        <v>3591000</v>
      </c>
      <c r="S48" s="24" t="n">
        <v>10773000</v>
      </c>
      <c r="T48" s="24" t="n">
        <v>256500</v>
      </c>
      <c r="U48" s="24" t="n">
        <v>3954974</v>
      </c>
      <c r="V48" s="13" t="n">
        <v>0</v>
      </c>
    </row>
    <row r="49">
      <c r="B49" s="10" t="inlineStr">
        <is>
          <t>PT Huayue (MHP)</t>
        </is>
      </c>
      <c r="C49" s="11" t="inlineStr">
        <is>
          <t>Sulawesi Tengah</t>
        </is>
      </c>
      <c r="D49" s="11" t="inlineStr">
        <is>
          <t>MHP</t>
        </is>
      </c>
      <c r="E49" s="21" t="n">
        <v>60000</v>
      </c>
      <c r="F49" s="11" t="n">
        <v>2021</v>
      </c>
      <c r="G49" s="21" t="n">
        <v>860</v>
      </c>
      <c r="H49" s="21" t="n">
        <v>730</v>
      </c>
      <c r="I49" s="22" t="n">
        <v>68.40000000000001</v>
      </c>
      <c r="J49" s="22" t="n">
        <v>0</v>
      </c>
      <c r="K49" s="21" t="n">
        <v>4104000</v>
      </c>
      <c r="L49" s="11" t="n">
        <v>4</v>
      </c>
      <c r="M49" s="22" t="n">
        <v>0.85</v>
      </c>
      <c r="N49" s="22" t="n">
        <v>69.8</v>
      </c>
      <c r="O49" s="23" t="inlineStr">
        <is>
          <t>Tinggi</t>
        </is>
      </c>
      <c r="P49" s="11" t="inlineStr">
        <is>
          <t>Kecil</t>
        </is>
      </c>
      <c r="Q49" s="21" t="n">
        <v>5540400</v>
      </c>
      <c r="R49" s="21" t="n">
        <v>2872800</v>
      </c>
      <c r="S49" s="21" t="n">
        <v>8618400</v>
      </c>
      <c r="T49" s="21" t="n">
        <v>205200</v>
      </c>
      <c r="U49" s="21" t="n">
        <v>2961652</v>
      </c>
      <c r="V49" s="11" t="n">
        <v>1</v>
      </c>
    </row>
    <row r="50">
      <c r="B50" s="12" t="inlineStr">
        <is>
          <t>PT QMB (MHP)</t>
        </is>
      </c>
      <c r="C50" s="13" t="inlineStr">
        <is>
          <t>Sulawesi Tengah</t>
        </is>
      </c>
      <c r="D50" s="13" t="inlineStr">
        <is>
          <t>MHP</t>
        </is>
      </c>
      <c r="E50" s="24" t="n">
        <v>30000</v>
      </c>
      <c r="F50" s="13" t="n">
        <v>2021</v>
      </c>
      <c r="G50" s="24" t="n">
        <v>420</v>
      </c>
      <c r="H50" s="24" t="n">
        <v>360</v>
      </c>
      <c r="I50" s="25" t="n">
        <v>69</v>
      </c>
      <c r="J50" s="25" t="n">
        <v>1</v>
      </c>
      <c r="K50" s="24" t="n">
        <v>2070000</v>
      </c>
      <c r="L50" s="13" t="n">
        <v>4</v>
      </c>
      <c r="M50" s="25" t="n">
        <v>0.86</v>
      </c>
      <c r="N50" s="25" t="n">
        <v>71.40000000000001</v>
      </c>
      <c r="O50" s="23" t="inlineStr">
        <is>
          <t>Tinggi</t>
        </is>
      </c>
      <c r="P50" s="13" t="inlineStr">
        <is>
          <t>Kecil</t>
        </is>
      </c>
      <c r="Q50" s="24" t="n">
        <v>2794500</v>
      </c>
      <c r="R50" s="24" t="n">
        <v>1449000</v>
      </c>
      <c r="S50" s="24" t="n">
        <v>4347000</v>
      </c>
      <c r="T50" s="24" t="n">
        <v>103500</v>
      </c>
      <c r="U50" s="24" t="n">
        <v>1507892</v>
      </c>
      <c r="V50" s="13" t="n">
        <v>1</v>
      </c>
    </row>
    <row r="51">
      <c r="B51" s="10" t="inlineStr">
        <is>
          <t>PT Morowali FeNi</t>
        </is>
      </c>
      <c r="C51" s="11" t="inlineStr">
        <is>
          <t>Sulawesi Tengah</t>
        </is>
      </c>
      <c r="D51" s="11" t="inlineStr">
        <is>
          <t>FeNi</t>
        </is>
      </c>
      <c r="E51" s="21" t="n">
        <v>28000</v>
      </c>
      <c r="F51" s="11" t="n">
        <v>2017</v>
      </c>
      <c r="G51" s="21" t="n">
        <v>278</v>
      </c>
      <c r="H51" s="21" t="n">
        <v>235</v>
      </c>
      <c r="I51" s="22" t="n">
        <v>45</v>
      </c>
      <c r="J51" s="22" t="n">
        <v>1.5</v>
      </c>
      <c r="K51" s="21" t="n">
        <v>1260000</v>
      </c>
      <c r="L51" s="11" t="n">
        <v>8</v>
      </c>
      <c r="M51" s="22" t="n">
        <v>0.84</v>
      </c>
      <c r="N51" s="22" t="n">
        <v>100.7</v>
      </c>
      <c r="O51" s="26" t="inlineStr">
        <is>
          <t>Sedang</t>
        </is>
      </c>
      <c r="P51" s="11" t="inlineStr">
        <is>
          <t>Kecil</t>
        </is>
      </c>
      <c r="Q51" s="21" t="n">
        <v>1701000</v>
      </c>
      <c r="R51" s="21" t="n">
        <v>882000</v>
      </c>
      <c r="S51" s="21" t="n">
        <v>2646000</v>
      </c>
      <c r="T51" s="21" t="n">
        <v>63000</v>
      </c>
      <c r="U51" s="21" t="n">
        <v>904995</v>
      </c>
      <c r="V51" s="11" t="n">
        <v>0</v>
      </c>
    </row>
    <row r="52">
      <c r="B52" s="12" t="inlineStr">
        <is>
          <t>PT IMIP (MHP)</t>
        </is>
      </c>
      <c r="C52" s="13" t="inlineStr">
        <is>
          <t>Sulawesi Tengah</t>
        </is>
      </c>
      <c r="D52" s="13" t="inlineStr">
        <is>
          <t>MHP</t>
        </is>
      </c>
      <c r="E52" s="24" t="n">
        <v>120000</v>
      </c>
      <c r="F52" s="13" t="n">
        <v>2019</v>
      </c>
      <c r="G52" s="24" t="n">
        <v>3100</v>
      </c>
      <c r="H52" s="24" t="n">
        <v>2600</v>
      </c>
      <c r="I52" s="25" t="n">
        <v>10</v>
      </c>
      <c r="J52" s="25" t="n">
        <v>2</v>
      </c>
      <c r="K52" s="24" t="n">
        <v>1200000</v>
      </c>
      <c r="L52" s="13" t="n">
        <v>6</v>
      </c>
      <c r="M52" s="25" t="n">
        <v>0.84</v>
      </c>
      <c r="N52" s="25" t="n">
        <v>38.7</v>
      </c>
      <c r="O52" s="27" t="inlineStr">
        <is>
          <t>Sangat Rendah</t>
        </is>
      </c>
      <c r="P52" s="13" t="inlineStr">
        <is>
          <t>Menengah</t>
        </is>
      </c>
      <c r="Q52" s="24" t="n">
        <v>1620000</v>
      </c>
      <c r="R52" s="24" t="n">
        <v>840000</v>
      </c>
      <c r="S52" s="24" t="n">
        <v>2520000</v>
      </c>
      <c r="T52" s="24" t="n">
        <v>60000</v>
      </c>
      <c r="U52" s="24" t="n">
        <v>855780</v>
      </c>
      <c r="V52" s="13" t="n">
        <v>1</v>
      </c>
    </row>
    <row r="53">
      <c r="B53" s="10" t="inlineStr">
        <is>
          <t>PT Green Morowali</t>
        </is>
      </c>
      <c r="C53" s="11" t="inlineStr">
        <is>
          <t>Sulawesi Tengah</t>
        </is>
      </c>
      <c r="D53" s="11" t="inlineStr">
        <is>
          <t>MHP</t>
        </is>
      </c>
      <c r="E53" s="21" t="n">
        <v>55000</v>
      </c>
      <c r="F53" s="11" t="n">
        <v>2024</v>
      </c>
      <c r="G53" s="21" t="n">
        <v>145</v>
      </c>
      <c r="H53" s="21" t="n">
        <v>0</v>
      </c>
      <c r="I53" s="22" t="n">
        <v>10</v>
      </c>
      <c r="J53" s="22" t="n">
        <v>8</v>
      </c>
      <c r="K53" s="21" t="n">
        <v>550000</v>
      </c>
      <c r="L53" s="11" t="n">
        <v>1</v>
      </c>
      <c r="M53" s="22" t="n">
        <v>0</v>
      </c>
      <c r="N53" s="22" t="n">
        <v>379.3</v>
      </c>
      <c r="O53" s="27" t="inlineStr">
        <is>
          <t>Sangat Rendah</t>
        </is>
      </c>
      <c r="P53" s="11" t="inlineStr">
        <is>
          <t>Kecil</t>
        </is>
      </c>
      <c r="Q53" s="21" t="n">
        <v>742500</v>
      </c>
      <c r="R53" s="21" t="n">
        <v>385000</v>
      </c>
      <c r="S53" s="21" t="n">
        <v>1155000</v>
      </c>
      <c r="T53" s="21" t="n">
        <v>27500</v>
      </c>
      <c r="U53" s="21" t="n">
        <v>0</v>
      </c>
      <c r="V53" s="11" t="n">
        <v>0</v>
      </c>
    </row>
    <row r="54">
      <c r="B54" s="12" t="inlineStr">
        <is>
          <t>PT Kolaka Stainless</t>
        </is>
      </c>
      <c r="C54" s="13" t="inlineStr">
        <is>
          <t>Sulawesi Tenggara</t>
        </is>
      </c>
      <c r="D54" s="13" t="inlineStr">
        <is>
          <t>NPI</t>
        </is>
      </c>
      <c r="E54" s="24" t="n">
        <v>200000</v>
      </c>
      <c r="F54" s="13" t="n">
        <v>2020</v>
      </c>
      <c r="G54" s="24" t="n">
        <v>1173</v>
      </c>
      <c r="H54" s="24" t="n">
        <v>1055</v>
      </c>
      <c r="I54" s="25" t="n">
        <v>68.40000000000001</v>
      </c>
      <c r="J54" s="25" t="n">
        <v>1.5</v>
      </c>
      <c r="K54" s="24" t="n">
        <v>13680000</v>
      </c>
      <c r="L54" s="13" t="n">
        <v>5</v>
      </c>
      <c r="M54" s="25" t="n">
        <v>0.9</v>
      </c>
      <c r="N54" s="25" t="n">
        <v>170.5</v>
      </c>
      <c r="O54" s="23" t="inlineStr">
        <is>
          <t>Tinggi</t>
        </is>
      </c>
      <c r="P54" s="13" t="inlineStr">
        <is>
          <t>Besar</t>
        </is>
      </c>
      <c r="Q54" s="24" t="n">
        <v>18468000</v>
      </c>
      <c r="R54" s="24" t="n">
        <v>9576000</v>
      </c>
      <c r="S54" s="24" t="n">
        <v>28728000</v>
      </c>
      <c r="T54" s="24" t="n">
        <v>684000</v>
      </c>
      <c r="U54" s="24" t="n">
        <v>10453572</v>
      </c>
      <c r="V54" s="13" t="n">
        <v>0</v>
      </c>
    </row>
    <row r="55">
      <c r="B55" s="10" t="inlineStr">
        <is>
          <t>PT Sultra Metal Works</t>
        </is>
      </c>
      <c r="C55" s="11" t="inlineStr">
        <is>
          <t>Sulawesi Tenggara</t>
        </is>
      </c>
      <c r="D55" s="11" t="inlineStr">
        <is>
          <t>NPI</t>
        </is>
      </c>
      <c r="E55" s="21" t="n">
        <v>160000</v>
      </c>
      <c r="F55" s="11" t="n">
        <v>2022</v>
      </c>
      <c r="G55" s="21" t="n">
        <v>938</v>
      </c>
      <c r="H55" s="21" t="n">
        <v>844</v>
      </c>
      <c r="I55" s="22" t="n">
        <v>68.40000000000001</v>
      </c>
      <c r="J55" s="22" t="n">
        <v>1.5</v>
      </c>
      <c r="K55" s="21" t="n">
        <v>10944000</v>
      </c>
      <c r="L55" s="11" t="n">
        <v>3</v>
      </c>
      <c r="M55" s="22" t="n">
        <v>0.9</v>
      </c>
      <c r="N55" s="22" t="n">
        <v>170.6</v>
      </c>
      <c r="O55" s="23" t="inlineStr">
        <is>
          <t>Tinggi</t>
        </is>
      </c>
      <c r="P55" s="11" t="inlineStr">
        <is>
          <t>Menengah</t>
        </is>
      </c>
      <c r="Q55" s="21" t="n">
        <v>14774400</v>
      </c>
      <c r="R55" s="21" t="n">
        <v>7660800</v>
      </c>
      <c r="S55" s="21" t="n">
        <v>22982400</v>
      </c>
      <c r="T55" s="21" t="n">
        <v>547200</v>
      </c>
      <c r="U55" s="21" t="n">
        <v>8372160</v>
      </c>
      <c r="V55" s="11" t="n">
        <v>0</v>
      </c>
    </row>
    <row r="56">
      <c r="B56" s="12" t="inlineStr">
        <is>
          <t>PT Nickel Sultra C</t>
        </is>
      </c>
      <c r="C56" s="13" t="inlineStr">
        <is>
          <t>Sulawesi Tenggara</t>
        </is>
      </c>
      <c r="D56" s="13" t="inlineStr">
        <is>
          <t>NPI</t>
        </is>
      </c>
      <c r="E56" s="24" t="n">
        <v>140000</v>
      </c>
      <c r="F56" s="13" t="n">
        <v>2023</v>
      </c>
      <c r="G56" s="24" t="n">
        <v>821</v>
      </c>
      <c r="H56" s="24" t="n">
        <v>738</v>
      </c>
      <c r="I56" s="25" t="n">
        <v>68.40000000000001</v>
      </c>
      <c r="J56" s="25" t="n">
        <v>1.5</v>
      </c>
      <c r="K56" s="24" t="n">
        <v>9576000</v>
      </c>
      <c r="L56" s="13" t="n">
        <v>2</v>
      </c>
      <c r="M56" s="25" t="n">
        <v>0.9</v>
      </c>
      <c r="N56" s="25" t="n">
        <v>170.5</v>
      </c>
      <c r="O56" s="23" t="inlineStr">
        <is>
          <t>Tinggi</t>
        </is>
      </c>
      <c r="P56" s="13" t="inlineStr">
        <is>
          <t>Menengah</t>
        </is>
      </c>
      <c r="Q56" s="24" t="n">
        <v>12927600</v>
      </c>
      <c r="R56" s="24" t="n">
        <v>6703200</v>
      </c>
      <c r="S56" s="24" t="n">
        <v>20109600</v>
      </c>
      <c r="T56" s="24" t="n">
        <v>478800</v>
      </c>
      <c r="U56" s="24" t="n">
        <v>7317500</v>
      </c>
      <c r="V56" s="13" t="n">
        <v>0</v>
      </c>
    </row>
    <row r="57">
      <c r="B57" s="10" t="inlineStr">
        <is>
          <t>PT Sultra Smelter A</t>
        </is>
      </c>
      <c r="C57" s="11" t="inlineStr">
        <is>
          <t>Sulawesi Tenggara</t>
        </is>
      </c>
      <c r="D57" s="11" t="inlineStr">
        <is>
          <t>NPI</t>
        </is>
      </c>
      <c r="E57" s="21" t="n">
        <v>130000</v>
      </c>
      <c r="F57" s="11" t="n">
        <v>2022</v>
      </c>
      <c r="G57" s="21" t="n">
        <v>762</v>
      </c>
      <c r="H57" s="21" t="n">
        <v>685</v>
      </c>
      <c r="I57" s="22" t="n">
        <v>68.40000000000001</v>
      </c>
      <c r="J57" s="22" t="n">
        <v>1.5</v>
      </c>
      <c r="K57" s="21" t="n">
        <v>8892000</v>
      </c>
      <c r="L57" s="11" t="n">
        <v>3</v>
      </c>
      <c r="M57" s="22" t="n">
        <v>0.9</v>
      </c>
      <c r="N57" s="22" t="n">
        <v>170.6</v>
      </c>
      <c r="O57" s="23" t="inlineStr">
        <is>
          <t>Tinggi</t>
        </is>
      </c>
      <c r="P57" s="11" t="inlineStr">
        <is>
          <t>Menengah</t>
        </is>
      </c>
      <c r="Q57" s="21" t="n">
        <v>12004200</v>
      </c>
      <c r="R57" s="21" t="n">
        <v>6224400</v>
      </c>
      <c r="S57" s="21" t="n">
        <v>18673200</v>
      </c>
      <c r="T57" s="21" t="n">
        <v>444600</v>
      </c>
      <c r="U57" s="21" t="n">
        <v>6794822</v>
      </c>
      <c r="V57" s="11" t="n">
        <v>0</v>
      </c>
    </row>
    <row r="58">
      <c r="B58" s="12" t="inlineStr">
        <is>
          <t>PT Central Nickel ST</t>
        </is>
      </c>
      <c r="C58" s="13" t="inlineStr">
        <is>
          <t>Sulawesi Tenggara</t>
        </is>
      </c>
      <c r="D58" s="13" t="inlineStr">
        <is>
          <t>NPI</t>
        </is>
      </c>
      <c r="E58" s="24" t="n">
        <v>130000</v>
      </c>
      <c r="F58" s="13" t="n">
        <v>2024</v>
      </c>
      <c r="G58" s="24" t="n">
        <v>762</v>
      </c>
      <c r="H58" s="24" t="n">
        <v>685</v>
      </c>
      <c r="I58" s="25" t="n">
        <v>68.40000000000001</v>
      </c>
      <c r="J58" s="25" t="n">
        <v>1.5</v>
      </c>
      <c r="K58" s="24" t="n">
        <v>8892000</v>
      </c>
      <c r="L58" s="13" t="n">
        <v>1</v>
      </c>
      <c r="M58" s="25" t="n">
        <v>0.9</v>
      </c>
      <c r="N58" s="25" t="n">
        <v>170.6</v>
      </c>
      <c r="O58" s="23" t="inlineStr">
        <is>
          <t>Tinggi</t>
        </is>
      </c>
      <c r="P58" s="13" t="inlineStr">
        <is>
          <t>Menengah</t>
        </is>
      </c>
      <c r="Q58" s="24" t="n">
        <v>12004200</v>
      </c>
      <c r="R58" s="24" t="n">
        <v>6224400</v>
      </c>
      <c r="S58" s="24" t="n">
        <v>18673200</v>
      </c>
      <c r="T58" s="24" t="n">
        <v>444600</v>
      </c>
      <c r="U58" s="24" t="n">
        <v>6794822</v>
      </c>
      <c r="V58" s="13" t="n">
        <v>0</v>
      </c>
    </row>
    <row r="59">
      <c r="B59" s="10" t="inlineStr">
        <is>
          <t>PT Morosi Nickel</t>
        </is>
      </c>
      <c r="C59" s="11" t="inlineStr">
        <is>
          <t>Sulawesi Tenggara</t>
        </is>
      </c>
      <c r="D59" s="11" t="inlineStr">
        <is>
          <t>NPI</t>
        </is>
      </c>
      <c r="E59" s="21" t="n">
        <v>120000</v>
      </c>
      <c r="F59" s="11" t="n">
        <v>2021</v>
      </c>
      <c r="G59" s="21" t="n">
        <v>706</v>
      </c>
      <c r="H59" s="21" t="n">
        <v>635</v>
      </c>
      <c r="I59" s="22" t="n">
        <v>68.40000000000001</v>
      </c>
      <c r="J59" s="22" t="n">
        <v>1.5</v>
      </c>
      <c r="K59" s="21" t="n">
        <v>8208000</v>
      </c>
      <c r="L59" s="11" t="n">
        <v>4</v>
      </c>
      <c r="M59" s="22" t="n">
        <v>0.9</v>
      </c>
      <c r="N59" s="22" t="n">
        <v>170</v>
      </c>
      <c r="O59" s="23" t="inlineStr">
        <is>
          <t>Tinggi</t>
        </is>
      </c>
      <c r="P59" s="11" t="inlineStr">
        <is>
          <t>Menengah</t>
        </is>
      </c>
      <c r="Q59" s="21" t="n">
        <v>11080800</v>
      </c>
      <c r="R59" s="21" t="n">
        <v>5745600</v>
      </c>
      <c r="S59" s="21" t="n">
        <v>17236800</v>
      </c>
      <c r="T59" s="21" t="n">
        <v>410400</v>
      </c>
      <c r="U59" s="21" t="n">
        <v>6272143</v>
      </c>
      <c r="V59" s="11" t="n">
        <v>0</v>
      </c>
    </row>
    <row r="60">
      <c r="B60" s="12" t="inlineStr">
        <is>
          <t>PT Nickel Sultra D</t>
        </is>
      </c>
      <c r="C60" s="13" t="inlineStr">
        <is>
          <t>Sulawesi Tenggara</t>
        </is>
      </c>
      <c r="D60" s="13" t="inlineStr">
        <is>
          <t>NPI</t>
        </is>
      </c>
      <c r="E60" s="24" t="n">
        <v>115000</v>
      </c>
      <c r="F60" s="13" t="n">
        <v>2024</v>
      </c>
      <c r="G60" s="24" t="n">
        <v>674</v>
      </c>
      <c r="H60" s="24" t="n">
        <v>606</v>
      </c>
      <c r="I60" s="25" t="n">
        <v>68.40000000000001</v>
      </c>
      <c r="J60" s="25" t="n">
        <v>1.5</v>
      </c>
      <c r="K60" s="24" t="n">
        <v>7866000</v>
      </c>
      <c r="L60" s="13" t="n">
        <v>1</v>
      </c>
      <c r="M60" s="25" t="n">
        <v>0.9</v>
      </c>
      <c r="N60" s="25" t="n">
        <v>170.6</v>
      </c>
      <c r="O60" s="23" t="inlineStr">
        <is>
          <t>Tinggi</t>
        </is>
      </c>
      <c r="P60" s="13" t="inlineStr">
        <is>
          <t>Menengah</t>
        </is>
      </c>
      <c r="Q60" s="24" t="n">
        <v>10619100</v>
      </c>
      <c r="R60" s="24" t="n">
        <v>5506200</v>
      </c>
      <c r="S60" s="24" t="n">
        <v>16518600</v>
      </c>
      <c r="T60" s="24" t="n">
        <v>393300</v>
      </c>
      <c r="U60" s="24" t="n">
        <v>6010804</v>
      </c>
      <c r="V60" s="13" t="n">
        <v>0</v>
      </c>
    </row>
    <row r="61">
      <c r="B61" s="10" t="inlineStr">
        <is>
          <t>PT Kolaka Nickel A</t>
        </is>
      </c>
      <c r="C61" s="11" t="inlineStr">
        <is>
          <t>Sulawesi Tenggara</t>
        </is>
      </c>
      <c r="D61" s="11" t="inlineStr">
        <is>
          <t>NPI</t>
        </is>
      </c>
      <c r="E61" s="21" t="n">
        <v>110000</v>
      </c>
      <c r="F61" s="11" t="n">
        <v>2021</v>
      </c>
      <c r="G61" s="21" t="n">
        <v>645</v>
      </c>
      <c r="H61" s="21" t="n">
        <v>580</v>
      </c>
      <c r="I61" s="22" t="n">
        <v>68.40000000000001</v>
      </c>
      <c r="J61" s="22" t="n">
        <v>1.5</v>
      </c>
      <c r="K61" s="21" t="n">
        <v>7524000</v>
      </c>
      <c r="L61" s="11" t="n">
        <v>4</v>
      </c>
      <c r="M61" s="22" t="n">
        <v>0.9</v>
      </c>
      <c r="N61" s="22" t="n">
        <v>170.5</v>
      </c>
      <c r="O61" s="23" t="inlineStr">
        <is>
          <t>Tinggi</t>
        </is>
      </c>
      <c r="P61" s="11" t="inlineStr">
        <is>
          <t>Menengah</t>
        </is>
      </c>
      <c r="Q61" s="21" t="n">
        <v>10157400</v>
      </c>
      <c r="R61" s="21" t="n">
        <v>5266800</v>
      </c>
      <c r="S61" s="21" t="n">
        <v>15800400</v>
      </c>
      <c r="T61" s="21" t="n">
        <v>376200</v>
      </c>
      <c r="U61" s="21" t="n">
        <v>5749465</v>
      </c>
      <c r="V61" s="11" t="n">
        <v>0</v>
      </c>
    </row>
    <row r="62">
      <c r="B62" s="12" t="inlineStr">
        <is>
          <t>PT Sultra Smelter B</t>
        </is>
      </c>
      <c r="C62" s="13" t="inlineStr">
        <is>
          <t>Sulawesi Tenggara</t>
        </is>
      </c>
      <c r="D62" s="13" t="inlineStr">
        <is>
          <t>NPI</t>
        </is>
      </c>
      <c r="E62" s="24" t="n">
        <v>100000</v>
      </c>
      <c r="F62" s="13" t="n">
        <v>2023</v>
      </c>
      <c r="G62" s="24" t="n">
        <v>587</v>
      </c>
      <c r="H62" s="24" t="n">
        <v>528</v>
      </c>
      <c r="I62" s="25" t="n">
        <v>68.40000000000001</v>
      </c>
      <c r="J62" s="25" t="n">
        <v>1.5</v>
      </c>
      <c r="K62" s="24" t="n">
        <v>6840000</v>
      </c>
      <c r="L62" s="13" t="n">
        <v>2</v>
      </c>
      <c r="M62" s="25" t="n">
        <v>0.9</v>
      </c>
      <c r="N62" s="25" t="n">
        <v>170.4</v>
      </c>
      <c r="O62" s="23" t="inlineStr">
        <is>
          <t>Tinggi</t>
        </is>
      </c>
      <c r="P62" s="13" t="inlineStr">
        <is>
          <t>Menengah</t>
        </is>
      </c>
      <c r="Q62" s="24" t="n">
        <v>9234000</v>
      </c>
      <c r="R62" s="24" t="n">
        <v>4788000</v>
      </c>
      <c r="S62" s="24" t="n">
        <v>14364000</v>
      </c>
      <c r="T62" s="24" t="n">
        <v>342000</v>
      </c>
      <c r="U62" s="24" t="n">
        <v>5226786</v>
      </c>
      <c r="V62" s="13" t="n">
        <v>0</v>
      </c>
    </row>
    <row r="63">
      <c r="B63" s="10" t="inlineStr">
        <is>
          <t>PT Kendari Steel</t>
        </is>
      </c>
      <c r="C63" s="11" t="inlineStr">
        <is>
          <t>Sulawesi Tenggara</t>
        </is>
      </c>
      <c r="D63" s="11" t="inlineStr">
        <is>
          <t>NPI</t>
        </is>
      </c>
      <c r="E63" s="21" t="n">
        <v>95000</v>
      </c>
      <c r="F63" s="11" t="n">
        <v>2022</v>
      </c>
      <c r="G63" s="21" t="n">
        <v>558</v>
      </c>
      <c r="H63" s="21" t="n">
        <v>502</v>
      </c>
      <c r="I63" s="22" t="n">
        <v>68.40000000000001</v>
      </c>
      <c r="J63" s="22" t="n">
        <v>1.5</v>
      </c>
      <c r="K63" s="21" t="n">
        <v>6498000</v>
      </c>
      <c r="L63" s="11" t="n">
        <v>3</v>
      </c>
      <c r="M63" s="22" t="n">
        <v>0.9</v>
      </c>
      <c r="N63" s="22" t="n">
        <v>170.3</v>
      </c>
      <c r="O63" s="23" t="inlineStr">
        <is>
          <t>Tinggi</t>
        </is>
      </c>
      <c r="P63" s="11" t="inlineStr">
        <is>
          <t>Menengah</t>
        </is>
      </c>
      <c r="Q63" s="21" t="n">
        <v>8772300</v>
      </c>
      <c r="R63" s="21" t="n">
        <v>4548600</v>
      </c>
      <c r="S63" s="21" t="n">
        <v>13645800</v>
      </c>
      <c r="T63" s="21" t="n">
        <v>324900</v>
      </c>
      <c r="U63" s="21" t="n">
        <v>4970970</v>
      </c>
      <c r="V63" s="11" t="n">
        <v>0</v>
      </c>
    </row>
    <row r="64">
      <c r="B64" s="12" t="inlineStr">
        <is>
          <t>PT Kolaka Nickel B</t>
        </is>
      </c>
      <c r="C64" s="13" t="inlineStr">
        <is>
          <t>Sulawesi Tenggara</t>
        </is>
      </c>
      <c r="D64" s="13" t="inlineStr">
        <is>
          <t>NPI</t>
        </is>
      </c>
      <c r="E64" s="24" t="n">
        <v>90000</v>
      </c>
      <c r="F64" s="13" t="n">
        <v>2022</v>
      </c>
      <c r="G64" s="24" t="n">
        <v>528</v>
      </c>
      <c r="H64" s="24" t="n">
        <v>475</v>
      </c>
      <c r="I64" s="25" t="n">
        <v>68.40000000000001</v>
      </c>
      <c r="J64" s="25" t="n">
        <v>1.5</v>
      </c>
      <c r="K64" s="24" t="n">
        <v>6156000</v>
      </c>
      <c r="L64" s="13" t="n">
        <v>3</v>
      </c>
      <c r="M64" s="25" t="n">
        <v>0.9</v>
      </c>
      <c r="N64" s="25" t="n">
        <v>170.5</v>
      </c>
      <c r="O64" s="23" t="inlineStr">
        <is>
          <t>Tinggi</t>
        </is>
      </c>
      <c r="P64" s="13" t="inlineStr">
        <is>
          <t>Menengah</t>
        </is>
      </c>
      <c r="Q64" s="24" t="n">
        <v>8310600</v>
      </c>
      <c r="R64" s="24" t="n">
        <v>4309200</v>
      </c>
      <c r="S64" s="24" t="n">
        <v>12927600</v>
      </c>
      <c r="T64" s="24" t="n">
        <v>307800</v>
      </c>
      <c r="U64" s="24" t="n">
        <v>4709340</v>
      </c>
      <c r="V64" s="13" t="n">
        <v>0</v>
      </c>
    </row>
    <row r="65">
      <c r="B65" s="10" t="inlineStr">
        <is>
          <t>PT OSO Kolaka</t>
        </is>
      </c>
      <c r="C65" s="11" t="inlineStr">
        <is>
          <t>Sulawesi Tenggara</t>
        </is>
      </c>
      <c r="D65" s="11" t="inlineStr">
        <is>
          <t>NPI</t>
        </is>
      </c>
      <c r="E65" s="21" t="n">
        <v>85000</v>
      </c>
      <c r="F65" s="11" t="n">
        <v>2020</v>
      </c>
      <c r="G65" s="21" t="n">
        <v>500</v>
      </c>
      <c r="H65" s="21" t="n">
        <v>450</v>
      </c>
      <c r="I65" s="22" t="n">
        <v>68.40000000000001</v>
      </c>
      <c r="J65" s="22" t="n">
        <v>1.5</v>
      </c>
      <c r="K65" s="21" t="n">
        <v>5814000</v>
      </c>
      <c r="L65" s="11" t="n">
        <v>5</v>
      </c>
      <c r="M65" s="22" t="n">
        <v>0.9</v>
      </c>
      <c r="N65" s="22" t="n">
        <v>170</v>
      </c>
      <c r="O65" s="23" t="inlineStr">
        <is>
          <t>Tinggi</t>
        </is>
      </c>
      <c r="P65" s="11" t="inlineStr">
        <is>
          <t>Menengah</t>
        </is>
      </c>
      <c r="Q65" s="21" t="n">
        <v>7848900</v>
      </c>
      <c r="R65" s="21" t="n">
        <v>4069800</v>
      </c>
      <c r="S65" s="21" t="n">
        <v>12209400</v>
      </c>
      <c r="T65" s="21" t="n">
        <v>290700</v>
      </c>
      <c r="U65" s="21" t="n">
        <v>4447710</v>
      </c>
      <c r="V65" s="11" t="n">
        <v>0</v>
      </c>
    </row>
    <row r="66">
      <c r="B66" s="12" t="inlineStr">
        <is>
          <t>PT Bumi Sultra</t>
        </is>
      </c>
      <c r="C66" s="13" t="inlineStr">
        <is>
          <t>Sulawesi Tenggara</t>
        </is>
      </c>
      <c r="D66" s="13" t="inlineStr">
        <is>
          <t>NPI</t>
        </is>
      </c>
      <c r="E66" s="24" t="n">
        <v>75000</v>
      </c>
      <c r="F66" s="13" t="n">
        <v>2023</v>
      </c>
      <c r="G66" s="24" t="n">
        <v>441</v>
      </c>
      <c r="H66" s="24" t="n">
        <v>396</v>
      </c>
      <c r="I66" s="25" t="n">
        <v>68.40000000000001</v>
      </c>
      <c r="J66" s="25" t="n">
        <v>1.5</v>
      </c>
      <c r="K66" s="24" t="n">
        <v>5130000</v>
      </c>
      <c r="L66" s="13" t="n">
        <v>2</v>
      </c>
      <c r="M66" s="25" t="n">
        <v>0.9</v>
      </c>
      <c r="N66" s="25" t="n">
        <v>170.1</v>
      </c>
      <c r="O66" s="23" t="inlineStr">
        <is>
          <t>Tinggi</t>
        </is>
      </c>
      <c r="P66" s="13" t="inlineStr">
        <is>
          <t>Kecil</t>
        </is>
      </c>
      <c r="Q66" s="24" t="n">
        <v>6925500</v>
      </c>
      <c r="R66" s="24" t="n">
        <v>3591000</v>
      </c>
      <c r="S66" s="24" t="n">
        <v>10773000</v>
      </c>
      <c r="T66" s="24" t="n">
        <v>256500</v>
      </c>
      <c r="U66" s="24" t="n">
        <v>3915729</v>
      </c>
      <c r="V66" s="13" t="n">
        <v>0</v>
      </c>
    </row>
    <row r="67">
      <c r="B67" s="10" t="inlineStr">
        <is>
          <t>PT Kolaka Metal</t>
        </is>
      </c>
      <c r="C67" s="11" t="inlineStr">
        <is>
          <t>Sulawesi Tenggara</t>
        </is>
      </c>
      <c r="D67" s="11" t="inlineStr">
        <is>
          <t>NPI</t>
        </is>
      </c>
      <c r="E67" s="21" t="n">
        <v>70000</v>
      </c>
      <c r="F67" s="11" t="n">
        <v>2023</v>
      </c>
      <c r="G67" s="21" t="n">
        <v>412</v>
      </c>
      <c r="H67" s="21" t="n">
        <v>370</v>
      </c>
      <c r="I67" s="22" t="n">
        <v>68.40000000000001</v>
      </c>
      <c r="J67" s="22" t="n">
        <v>1.5</v>
      </c>
      <c r="K67" s="21" t="n">
        <v>4788000</v>
      </c>
      <c r="L67" s="11" t="n">
        <v>2</v>
      </c>
      <c r="M67" s="22" t="n">
        <v>0.9</v>
      </c>
      <c r="N67" s="22" t="n">
        <v>169.9</v>
      </c>
      <c r="O67" s="23" t="inlineStr">
        <is>
          <t>Tinggi</t>
        </is>
      </c>
      <c r="P67" s="11" t="inlineStr">
        <is>
          <t>Kecil</t>
        </is>
      </c>
      <c r="Q67" s="21" t="n">
        <v>6463800</v>
      </c>
      <c r="R67" s="21" t="n">
        <v>3351600</v>
      </c>
      <c r="S67" s="21" t="n">
        <v>10054800</v>
      </c>
      <c r="T67" s="21" t="n">
        <v>239400</v>
      </c>
      <c r="U67" s="21" t="n">
        <v>3654680</v>
      </c>
      <c r="V67" s="11" t="n">
        <v>0</v>
      </c>
    </row>
    <row r="68">
      <c r="B68" s="12" t="inlineStr">
        <is>
          <t>PT Sultra Bay</t>
        </is>
      </c>
      <c r="C68" s="13" t="inlineStr">
        <is>
          <t>Sulawesi Tenggara</t>
        </is>
      </c>
      <c r="D68" s="13" t="inlineStr">
        <is>
          <t>NPI</t>
        </is>
      </c>
      <c r="E68" s="24" t="n">
        <v>55000</v>
      </c>
      <c r="F68" s="13" t="n">
        <v>2024</v>
      </c>
      <c r="G68" s="24" t="n">
        <v>323</v>
      </c>
      <c r="H68" s="24" t="n">
        <v>290</v>
      </c>
      <c r="I68" s="25" t="n">
        <v>68.40000000000001</v>
      </c>
      <c r="J68" s="25" t="n">
        <v>1.5</v>
      </c>
      <c r="K68" s="24" t="n">
        <v>3762000</v>
      </c>
      <c r="L68" s="13" t="n">
        <v>1</v>
      </c>
      <c r="M68" s="25" t="n">
        <v>0.9</v>
      </c>
      <c r="N68" s="25" t="n">
        <v>170.3</v>
      </c>
      <c r="O68" s="23" t="inlineStr">
        <is>
          <t>Tinggi</t>
        </is>
      </c>
      <c r="P68" s="13" t="inlineStr">
        <is>
          <t>Kecil</t>
        </is>
      </c>
      <c r="Q68" s="24" t="n">
        <v>5078700</v>
      </c>
      <c r="R68" s="24" t="n">
        <v>2633400</v>
      </c>
      <c r="S68" s="24" t="n">
        <v>7900200</v>
      </c>
      <c r="T68" s="24" t="n">
        <v>188100</v>
      </c>
      <c r="U68" s="24" t="n">
        <v>2871535</v>
      </c>
      <c r="V68" s="13" t="n">
        <v>0</v>
      </c>
    </row>
    <row r="69">
      <c r="B69" s="10" t="inlineStr">
        <is>
          <t>PT Vale Indonesia</t>
        </is>
      </c>
      <c r="C69" s="11" t="inlineStr">
        <is>
          <t>Sulawesi Tenggara</t>
        </is>
      </c>
      <c r="D69" s="11" t="inlineStr">
        <is>
          <t>Matte</t>
        </is>
      </c>
      <c r="E69" s="21" t="n">
        <v>75000</v>
      </c>
      <c r="F69" s="11" t="n">
        <v>2014</v>
      </c>
      <c r="G69" s="21" t="n">
        <v>365</v>
      </c>
      <c r="H69" s="21" t="n">
        <v>0</v>
      </c>
      <c r="I69" s="22" t="n">
        <v>35</v>
      </c>
      <c r="J69" s="22" t="n">
        <v>18</v>
      </c>
      <c r="K69" s="21" t="n">
        <v>2625000</v>
      </c>
      <c r="L69" s="11" t="n">
        <v>11</v>
      </c>
      <c r="M69" s="22" t="n">
        <v>0</v>
      </c>
      <c r="N69" s="22" t="n">
        <v>205.5</v>
      </c>
      <c r="O69" s="28" t="inlineStr">
        <is>
          <t>Rendah</t>
        </is>
      </c>
      <c r="P69" s="11" t="inlineStr">
        <is>
          <t>Kecil</t>
        </is>
      </c>
      <c r="Q69" s="21" t="n">
        <v>3543750</v>
      </c>
      <c r="R69" s="21" t="n">
        <v>1837500</v>
      </c>
      <c r="S69" s="21" t="n">
        <v>5512500</v>
      </c>
      <c r="T69" s="21" t="n">
        <v>131250</v>
      </c>
      <c r="U69" s="21" t="n">
        <v>0</v>
      </c>
      <c r="V69" s="11" t="n">
        <v>0</v>
      </c>
    </row>
    <row r="70">
      <c r="B70" s="12" t="inlineStr">
        <is>
          <t>PT Sultra FeNi B</t>
        </is>
      </c>
      <c r="C70" s="13" t="inlineStr">
        <is>
          <t>Sulawesi Tenggara</t>
        </is>
      </c>
      <c r="D70" s="13" t="inlineStr">
        <is>
          <t>FeNi</t>
        </is>
      </c>
      <c r="E70" s="24" t="n">
        <v>22000</v>
      </c>
      <c r="F70" s="13" t="n">
        <v>2016</v>
      </c>
      <c r="G70" s="24" t="n">
        <v>220</v>
      </c>
      <c r="H70" s="24" t="n">
        <v>185</v>
      </c>
      <c r="I70" s="25" t="n">
        <v>45</v>
      </c>
      <c r="J70" s="25" t="n">
        <v>1.5</v>
      </c>
      <c r="K70" s="24" t="n">
        <v>990000</v>
      </c>
      <c r="L70" s="13" t="n">
        <v>9</v>
      </c>
      <c r="M70" s="25" t="n">
        <v>0.84</v>
      </c>
      <c r="N70" s="25" t="n">
        <v>100</v>
      </c>
      <c r="O70" s="26" t="inlineStr">
        <is>
          <t>Sedang</t>
        </is>
      </c>
      <c r="P70" s="13" t="inlineStr">
        <is>
          <t>Kecil</t>
        </is>
      </c>
      <c r="Q70" s="24" t="n">
        <v>1336500</v>
      </c>
      <c r="R70" s="24" t="n">
        <v>693000</v>
      </c>
      <c r="S70" s="24" t="n">
        <v>2079000</v>
      </c>
      <c r="T70" s="24" t="n">
        <v>49500</v>
      </c>
      <c r="U70" s="24" t="n">
        <v>707702</v>
      </c>
      <c r="V70" s="13" t="n">
        <v>0</v>
      </c>
    </row>
    <row r="71">
      <c r="B71" s="10" t="inlineStr">
        <is>
          <t>PT Sultra FeNi C</t>
        </is>
      </c>
      <c r="C71" s="11" t="inlineStr">
        <is>
          <t>Sulawesi Tenggara</t>
        </is>
      </c>
      <c r="D71" s="11" t="inlineStr">
        <is>
          <t>FeNi</t>
        </is>
      </c>
      <c r="E71" s="21" t="n">
        <v>18000</v>
      </c>
      <c r="F71" s="11" t="n">
        <v>2018</v>
      </c>
      <c r="G71" s="21" t="n">
        <v>180</v>
      </c>
      <c r="H71" s="21" t="n">
        <v>150</v>
      </c>
      <c r="I71" s="22" t="n">
        <v>45</v>
      </c>
      <c r="J71" s="22" t="n">
        <v>1.5</v>
      </c>
      <c r="K71" s="21" t="n">
        <v>810000</v>
      </c>
      <c r="L71" s="11" t="n">
        <v>7</v>
      </c>
      <c r="M71" s="22" t="n">
        <v>0.83</v>
      </c>
      <c r="N71" s="22" t="n">
        <v>100</v>
      </c>
      <c r="O71" s="26" t="inlineStr">
        <is>
          <t>Sedang</t>
        </is>
      </c>
      <c r="P71" s="11" t="inlineStr">
        <is>
          <t>Kecil</t>
        </is>
      </c>
      <c r="Q71" s="21" t="n">
        <v>1093500</v>
      </c>
      <c r="R71" s="21" t="n">
        <v>567000</v>
      </c>
      <c r="S71" s="21" t="n">
        <v>1701000</v>
      </c>
      <c r="T71" s="21" t="n">
        <v>40500</v>
      </c>
      <c r="U71" s="21" t="n">
        <v>573520</v>
      </c>
      <c r="V71" s="11" t="n">
        <v>0</v>
      </c>
    </row>
    <row r="72">
      <c r="B72" s="12" t="inlineStr">
        <is>
          <t>PT Antam Pomalaa</t>
        </is>
      </c>
      <c r="C72" s="13" t="inlineStr">
        <is>
          <t>Sulawesi Tenggara</t>
        </is>
      </c>
      <c r="D72" s="13" t="inlineStr">
        <is>
          <t>FeNi</t>
        </is>
      </c>
      <c r="E72" s="24" t="n">
        <v>15000</v>
      </c>
      <c r="F72" s="13" t="n">
        <v>2010</v>
      </c>
      <c r="G72" s="24" t="n">
        <v>220</v>
      </c>
      <c r="H72" s="24" t="n">
        <v>180</v>
      </c>
      <c r="I72" s="25" t="n">
        <v>45</v>
      </c>
      <c r="J72" s="25" t="n">
        <v>2</v>
      </c>
      <c r="K72" s="24" t="n">
        <v>675000</v>
      </c>
      <c r="L72" s="13" t="n">
        <v>15</v>
      </c>
      <c r="M72" s="25" t="n">
        <v>0.82</v>
      </c>
      <c r="N72" s="25" t="n">
        <v>68.2</v>
      </c>
      <c r="O72" s="26" t="inlineStr">
        <is>
          <t>Sedang</t>
        </is>
      </c>
      <c r="P72" s="13" t="inlineStr">
        <is>
          <t>Kecil</t>
        </is>
      </c>
      <c r="Q72" s="24" t="n">
        <v>911250</v>
      </c>
      <c r="R72" s="24" t="n">
        <v>472500</v>
      </c>
      <c r="S72" s="24" t="n">
        <v>1417500</v>
      </c>
      <c r="T72" s="24" t="n">
        <v>33750</v>
      </c>
      <c r="U72" s="24" t="n">
        <v>469328</v>
      </c>
      <c r="V72" s="13" t="n">
        <v>0</v>
      </c>
    </row>
    <row r="73">
      <c r="B73" s="10" t="inlineStr">
        <is>
          <t>PT Harita Sultra</t>
        </is>
      </c>
      <c r="C73" s="11" t="inlineStr">
        <is>
          <t>Sulawesi Tenggara</t>
        </is>
      </c>
      <c r="D73" s="11" t="inlineStr">
        <is>
          <t>MHP</t>
        </is>
      </c>
      <c r="E73" s="21" t="n">
        <v>40000</v>
      </c>
      <c r="F73" s="11" t="n">
        <v>2023</v>
      </c>
      <c r="G73" s="21" t="n">
        <v>110</v>
      </c>
      <c r="H73" s="21" t="n">
        <v>0</v>
      </c>
      <c r="I73" s="22" t="n">
        <v>10</v>
      </c>
      <c r="J73" s="22" t="n">
        <v>6</v>
      </c>
      <c r="K73" s="21" t="n">
        <v>400000</v>
      </c>
      <c r="L73" s="11" t="n">
        <v>2</v>
      </c>
      <c r="M73" s="22" t="n">
        <v>0</v>
      </c>
      <c r="N73" s="22" t="n">
        <v>363.6</v>
      </c>
      <c r="O73" s="27" t="inlineStr">
        <is>
          <t>Sangat Rendah</t>
        </is>
      </c>
      <c r="P73" s="11" t="inlineStr">
        <is>
          <t>Kecil</t>
        </is>
      </c>
      <c r="Q73" s="21" t="n">
        <v>540000</v>
      </c>
      <c r="R73" s="21" t="n">
        <v>280000</v>
      </c>
      <c r="S73" s="21" t="n">
        <v>840000</v>
      </c>
      <c r="T73" s="21" t="n">
        <v>20000</v>
      </c>
      <c r="U73" s="21" t="n">
        <v>0</v>
      </c>
      <c r="V73" s="11" t="n">
        <v>0</v>
      </c>
    </row>
    <row r="74">
      <c r="B74" s="12" t="inlineStr">
        <is>
          <t>PT Sultra Green Ni</t>
        </is>
      </c>
      <c r="C74" s="13" t="inlineStr">
        <is>
          <t>Sulawesi Tenggara</t>
        </is>
      </c>
      <c r="D74" s="13" t="inlineStr">
        <is>
          <t>MHP</t>
        </is>
      </c>
      <c r="E74" s="24" t="n">
        <v>35000</v>
      </c>
      <c r="F74" s="13" t="n">
        <v>2025</v>
      </c>
      <c r="G74" s="24" t="n">
        <v>95</v>
      </c>
      <c r="H74" s="24" t="n">
        <v>0</v>
      </c>
      <c r="I74" s="25" t="n">
        <v>10</v>
      </c>
      <c r="J74" s="25" t="n">
        <v>9</v>
      </c>
      <c r="K74" s="24" t="n">
        <v>350000</v>
      </c>
      <c r="L74" s="13" t="n">
        <v>0</v>
      </c>
      <c r="M74" s="25" t="n">
        <v>0</v>
      </c>
      <c r="N74" s="25" t="n">
        <v>368.4</v>
      </c>
      <c r="O74" s="27" t="inlineStr">
        <is>
          <t>Sangat Rendah</t>
        </is>
      </c>
      <c r="P74" s="13" t="inlineStr">
        <is>
          <t>Kecil</t>
        </is>
      </c>
      <c r="Q74" s="24" t="n">
        <v>472500</v>
      </c>
      <c r="R74" s="24" t="n">
        <v>245000</v>
      </c>
      <c r="S74" s="24" t="n">
        <v>735000</v>
      </c>
      <c r="T74" s="24" t="n">
        <v>17500</v>
      </c>
      <c r="U74" s="24" t="n">
        <v>0</v>
      </c>
      <c r="V74" s="13" t="n">
        <v>0</v>
      </c>
    </row>
    <row r="77">
      <c r="B77" s="29" t="inlineStr">
        <is>
          <t>Sumber: CREA-CELIOS (2024), IEEFA (Oct 2024) | Generated: 2026-05-11</t>
        </is>
      </c>
    </row>
  </sheetData>
  <autoFilter ref="B2:V2"/>
  <mergeCells count="1">
    <mergeCell ref="B1:X1"/>
  </mergeCells>
  <conditionalFormatting sqref="I3:I7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3:K74">
    <cfRule type="dataBar" priority="2">
      <dataBar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B1" s="19" t="inlineStr">
        <is>
          <t>PROYEKSI EMISI NASIONAL — BAU vs NZE vs JETP (2020–2050)</t>
        </is>
      </c>
    </row>
    <row r="2" ht="22" customHeight="1">
      <c r="B2" s="9" t="inlineStr">
        <is>
          <t>Tahun</t>
        </is>
      </c>
      <c r="C2" s="9" t="inlineStr">
        <is>
          <t>BAU (MtCO₂)</t>
        </is>
      </c>
      <c r="D2" s="9" t="inlineStr">
        <is>
          <t>NZE (MtCO₂)</t>
        </is>
      </c>
      <c r="E2" s="9" t="inlineStr">
        <is>
          <t>JETP (MtCO₂)</t>
        </is>
      </c>
    </row>
    <row r="3">
      <c r="B3" s="11" t="n">
        <v>2020</v>
      </c>
      <c r="C3" s="11" t="n">
        <v>777.4400000000001</v>
      </c>
      <c r="D3" s="11" t="n">
        <v>777.4400000000001</v>
      </c>
      <c r="E3" s="11" t="n">
        <v>777.4400000000001</v>
      </c>
    </row>
    <row r="4">
      <c r="B4" s="13" t="n">
        <v>2021</v>
      </c>
      <c r="C4" s="13" t="n">
        <v>777.4400000000001</v>
      </c>
      <c r="D4" s="13" t="n">
        <v>777.4400000000001</v>
      </c>
      <c r="E4" s="13" t="n">
        <v>777.4400000000001</v>
      </c>
    </row>
    <row r="5">
      <c r="B5" s="11" t="n">
        <v>2022</v>
      </c>
      <c r="C5" s="11" t="n">
        <v>777.4400000000001</v>
      </c>
      <c r="D5" s="11" t="n">
        <v>777.4400000000001</v>
      </c>
      <c r="E5" s="11" t="n">
        <v>777.4400000000001</v>
      </c>
    </row>
    <row r="6">
      <c r="B6" s="13" t="n">
        <v>2023</v>
      </c>
      <c r="C6" s="13" t="n">
        <v>777.4400000000001</v>
      </c>
      <c r="D6" s="13" t="n">
        <v>777.4400000000001</v>
      </c>
      <c r="E6" s="13" t="n">
        <v>777.4400000000001</v>
      </c>
    </row>
    <row r="7">
      <c r="B7" s="11" t="n">
        <v>2024</v>
      </c>
      <c r="C7" s="11" t="n">
        <v>777.4400000000001</v>
      </c>
      <c r="D7" s="11" t="n">
        <v>777.4400000000001</v>
      </c>
      <c r="E7" s="11" t="n">
        <v>777.4400000000001</v>
      </c>
    </row>
    <row r="8">
      <c r="B8" s="30" t="n">
        <v>2025</v>
      </c>
      <c r="C8" s="30" t="n">
        <v>777.4400000000001</v>
      </c>
      <c r="D8" s="30" t="n">
        <v>777.4400000000001</v>
      </c>
      <c r="E8" s="30" t="n">
        <v>777.4400000000001</v>
      </c>
    </row>
    <row r="9">
      <c r="B9" s="11" t="n">
        <v>2026</v>
      </c>
      <c r="C9" s="11" t="n">
        <v>804.65</v>
      </c>
      <c r="D9" s="11" t="n">
        <v>730.8</v>
      </c>
      <c r="E9" s="11" t="n">
        <v>742.46</v>
      </c>
    </row>
    <row r="10">
      <c r="B10" s="13" t="n">
        <v>2027</v>
      </c>
      <c r="C10" s="13" t="n">
        <v>832.8200000000001</v>
      </c>
      <c r="D10" s="13" t="n">
        <v>684.15</v>
      </c>
      <c r="E10" s="13" t="n">
        <v>707.47</v>
      </c>
    </row>
    <row r="11">
      <c r="B11" s="11" t="n">
        <v>2028</v>
      </c>
      <c r="C11" s="11" t="n">
        <v>861.96</v>
      </c>
      <c r="D11" s="11" t="n">
        <v>637.5</v>
      </c>
      <c r="E11" s="11" t="n">
        <v>672.49</v>
      </c>
    </row>
    <row r="12">
      <c r="B12" s="13" t="n">
        <v>2029</v>
      </c>
      <c r="C12" s="13" t="n">
        <v>892.13</v>
      </c>
      <c r="D12" s="13" t="n">
        <v>590.86</v>
      </c>
      <c r="E12" s="13" t="n">
        <v>637.5</v>
      </c>
    </row>
    <row r="13">
      <c r="B13" s="30" t="n">
        <v>2030</v>
      </c>
      <c r="C13" s="30" t="n">
        <v>923.36</v>
      </c>
      <c r="D13" s="30" t="n">
        <v>544.21</v>
      </c>
      <c r="E13" s="30" t="n">
        <v>602.52</v>
      </c>
    </row>
    <row r="14">
      <c r="B14" s="13" t="n">
        <v>2031</v>
      </c>
      <c r="C14" s="13" t="n">
        <v>955.6799999999999</v>
      </c>
      <c r="D14" s="13" t="n">
        <v>497.56</v>
      </c>
      <c r="E14" s="13" t="n">
        <v>567.53</v>
      </c>
    </row>
    <row r="15">
      <c r="B15" s="11" t="n">
        <v>2032</v>
      </c>
      <c r="C15" s="11" t="n">
        <v>989.12</v>
      </c>
      <c r="D15" s="11" t="n">
        <v>450.92</v>
      </c>
      <c r="E15" s="11" t="n">
        <v>532.55</v>
      </c>
    </row>
    <row r="16">
      <c r="B16" s="13" t="n">
        <v>2033</v>
      </c>
      <c r="C16" s="13" t="n">
        <v>1023.74</v>
      </c>
      <c r="D16" s="13" t="n">
        <v>404.27</v>
      </c>
      <c r="E16" s="13" t="n">
        <v>497.56</v>
      </c>
    </row>
    <row r="17">
      <c r="B17" s="11" t="n">
        <v>2034</v>
      </c>
      <c r="C17" s="11" t="n">
        <v>1059.57</v>
      </c>
      <c r="D17" s="11" t="n">
        <v>357.62</v>
      </c>
      <c r="E17" s="11" t="n">
        <v>462.58</v>
      </c>
    </row>
    <row r="18">
      <c r="B18" s="13" t="n">
        <v>2035</v>
      </c>
      <c r="C18" s="13" t="n">
        <v>1096.66</v>
      </c>
      <c r="D18" s="13" t="n">
        <v>310.98</v>
      </c>
      <c r="E18" s="13" t="n">
        <v>427.59</v>
      </c>
    </row>
    <row r="19">
      <c r="B19" s="11" t="n">
        <v>2036</v>
      </c>
      <c r="C19" s="11" t="n">
        <v>1135.04</v>
      </c>
      <c r="D19" s="11" t="n">
        <v>264.33</v>
      </c>
      <c r="E19" s="11" t="n">
        <v>392.61</v>
      </c>
    </row>
    <row r="20">
      <c r="B20" s="13" t="n">
        <v>2037</v>
      </c>
      <c r="C20" s="13" t="n">
        <v>1174.77</v>
      </c>
      <c r="D20" s="13" t="n">
        <v>217.68</v>
      </c>
      <c r="E20" s="13" t="n">
        <v>357.62</v>
      </c>
    </row>
    <row r="21">
      <c r="B21" s="11" t="n">
        <v>2038</v>
      </c>
      <c r="C21" s="11" t="n">
        <v>1215.89</v>
      </c>
      <c r="D21" s="11" t="n">
        <v>171.04</v>
      </c>
      <c r="E21" s="11" t="n">
        <v>322.64</v>
      </c>
    </row>
    <row r="22">
      <c r="B22" s="13" t="n">
        <v>2039</v>
      </c>
      <c r="C22" s="13" t="n">
        <v>1258.44</v>
      </c>
      <c r="D22" s="13" t="n">
        <v>124.39</v>
      </c>
      <c r="E22" s="13" t="n">
        <v>287.65</v>
      </c>
    </row>
    <row r="23">
      <c r="B23" s="30" t="n">
        <v>2040</v>
      </c>
      <c r="C23" s="30" t="n">
        <v>1302.49</v>
      </c>
      <c r="D23" s="30" t="n">
        <v>77.73999999999999</v>
      </c>
      <c r="E23" s="30" t="n">
        <v>252.67</v>
      </c>
    </row>
    <row r="24">
      <c r="B24" s="13" t="n">
        <v>2041</v>
      </c>
      <c r="C24" s="13" t="n">
        <v>1348.07</v>
      </c>
      <c r="D24" s="13" t="n">
        <v>38.87</v>
      </c>
      <c r="E24" s="13" t="n">
        <v>217.68</v>
      </c>
    </row>
    <row r="25">
      <c r="B25" s="11" t="n">
        <v>2042</v>
      </c>
      <c r="C25" s="11" t="n">
        <v>1395.26</v>
      </c>
      <c r="D25" s="11" t="n">
        <v>38.87</v>
      </c>
      <c r="E25" s="11" t="n">
        <v>182.7</v>
      </c>
    </row>
    <row r="26">
      <c r="B26" s="13" t="n">
        <v>2043</v>
      </c>
      <c r="C26" s="13" t="n">
        <v>1444.09</v>
      </c>
      <c r="D26" s="13" t="n">
        <v>38.87</v>
      </c>
      <c r="E26" s="13" t="n">
        <v>147.71</v>
      </c>
    </row>
    <row r="27">
      <c r="B27" s="11" t="n">
        <v>2044</v>
      </c>
      <c r="C27" s="11" t="n">
        <v>1494.63</v>
      </c>
      <c r="D27" s="11" t="n">
        <v>38.87</v>
      </c>
      <c r="E27" s="11" t="n">
        <v>112.73</v>
      </c>
    </row>
    <row r="28">
      <c r="B28" s="13" t="n">
        <v>2045</v>
      </c>
      <c r="C28" s="13" t="n">
        <v>1546.95</v>
      </c>
      <c r="D28" s="13" t="n">
        <v>38.87</v>
      </c>
      <c r="E28" s="13" t="n">
        <v>77.73999999999999</v>
      </c>
    </row>
    <row r="29">
      <c r="B29" s="11" t="n">
        <v>2046</v>
      </c>
      <c r="C29" s="11" t="n">
        <v>1601.09</v>
      </c>
      <c r="D29" s="11" t="n">
        <v>38.87</v>
      </c>
      <c r="E29" s="11" t="n">
        <v>77.73999999999999</v>
      </c>
    </row>
    <row r="30">
      <c r="B30" s="13" t="n">
        <v>2047</v>
      </c>
      <c r="C30" s="13" t="n">
        <v>1657.13</v>
      </c>
      <c r="D30" s="13" t="n">
        <v>38.87</v>
      </c>
      <c r="E30" s="13" t="n">
        <v>77.73999999999999</v>
      </c>
    </row>
    <row r="31">
      <c r="B31" s="11" t="n">
        <v>2048</v>
      </c>
      <c r="C31" s="11" t="n">
        <v>1715.13</v>
      </c>
      <c r="D31" s="11" t="n">
        <v>38.87</v>
      </c>
      <c r="E31" s="11" t="n">
        <v>77.73999999999999</v>
      </c>
    </row>
    <row r="32">
      <c r="B32" s="13" t="n">
        <v>2049</v>
      </c>
      <c r="C32" s="13" t="n">
        <v>1775.16</v>
      </c>
      <c r="D32" s="13" t="n">
        <v>38.87</v>
      </c>
      <c r="E32" s="13" t="n">
        <v>77.73999999999999</v>
      </c>
    </row>
    <row r="33">
      <c r="B33" s="30" t="n">
        <v>2050</v>
      </c>
      <c r="C33" s="31" t="n">
        <v>1837.29</v>
      </c>
      <c r="D33" s="32" t="n">
        <v>38.87</v>
      </c>
      <c r="E33" s="30" t="n">
        <v>77.73999999999999</v>
      </c>
    </row>
    <row r="35">
      <c r="B35" s="18" t="inlineStr">
        <is>
          <t>Keterangan: BAU=Business As Usual | NZE=Net Zero Emission (target) | JETP=Just Energy Transition Partnership pathway</t>
        </is>
      </c>
    </row>
  </sheetData>
  <mergeCells count="2">
    <mergeCell ref="B1:N1"/>
    <mergeCell ref="B35:F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</cols>
  <sheetData>
    <row r="1" ht="28" customHeight="1">
      <c r="B1" s="19" t="inlineStr">
        <is>
          <t>AGREGASI EMISI &amp; KAPASITAS PER PROVINSI</t>
        </is>
      </c>
    </row>
    <row r="2" ht="22" customHeight="1">
      <c r="B2" s="9" t="inlineStr">
        <is>
          <t>Provinsi</t>
        </is>
      </c>
      <c r="C2" s="9" t="inlineStr">
        <is>
          <t>N Smelter</t>
        </is>
      </c>
      <c r="D2" s="9" t="inlineStr">
        <is>
          <t>Output Total (tpa)</t>
        </is>
      </c>
      <c r="E2" s="9" t="inlineStr">
        <is>
          <t>Total MW</t>
        </is>
      </c>
      <c r="F2" s="9" t="inlineStr">
        <is>
          <t>GHG Avg
(tCO₂/tNi)</t>
        </is>
      </c>
      <c r="G2" s="9" t="inlineStr">
        <is>
          <t>Emisi 2025
(MtCO₂)</t>
        </is>
      </c>
      <c r="H2" s="9" t="inlineStr">
        <is>
          <t>BAU 2030
(MtCO₂)</t>
        </is>
      </c>
      <c r="I2" s="9" t="inlineStr">
        <is>
          <t>NZE 2030
(MtCO₂)</t>
        </is>
      </c>
      <c r="J2" s="9" t="inlineStr">
        <is>
          <t>BAU 2050
(MtCO₂)</t>
        </is>
      </c>
      <c r="K2" s="9" t="inlineStr">
        <is>
          <t>NZE 2050
(MtCO₂)</t>
        </is>
      </c>
    </row>
    <row r="3">
      <c r="B3" s="10" t="inlineStr">
        <is>
          <t>Maluku Utara</t>
        </is>
      </c>
      <c r="C3" s="21" t="n">
        <v>24</v>
      </c>
      <c r="D3" s="21" t="n">
        <v>3798800</v>
      </c>
      <c r="E3" s="21" t="n">
        <v>21139</v>
      </c>
      <c r="F3" s="33" t="n">
        <v>60.2</v>
      </c>
      <c r="G3" s="33" t="n">
        <v>252.1</v>
      </c>
      <c r="H3" s="33" t="n">
        <v>340.4</v>
      </c>
      <c r="I3" s="33" t="n">
        <v>176.5</v>
      </c>
      <c r="J3" s="33" t="n">
        <v>529.5</v>
      </c>
      <c r="K3" s="33" t="n">
        <v>12.6</v>
      </c>
    </row>
    <row r="4">
      <c r="B4" s="12" t="inlineStr">
        <is>
          <t>Sulawesi Tengah</t>
        </is>
      </c>
      <c r="C4" s="24" t="n">
        <v>27</v>
      </c>
      <c r="D4" s="24" t="n">
        <v>6078000</v>
      </c>
      <c r="E4" s="24" t="n">
        <v>38645</v>
      </c>
      <c r="F4" s="34" t="n">
        <v>63.2</v>
      </c>
      <c r="G4" s="34" t="n">
        <v>404.9</v>
      </c>
      <c r="H4" s="34" t="n">
        <v>546.6</v>
      </c>
      <c r="I4" s="34" t="n">
        <v>283.4</v>
      </c>
      <c r="J4" s="34" t="n">
        <v>850.2</v>
      </c>
      <c r="K4" s="34" t="n">
        <v>20.2</v>
      </c>
    </row>
    <row r="5">
      <c r="B5" s="10" t="inlineStr">
        <is>
          <t>Sulawesi Tenggara</t>
        </is>
      </c>
      <c r="C5" s="21" t="n">
        <v>21</v>
      </c>
      <c r="D5" s="21" t="n">
        <v>1880000</v>
      </c>
      <c r="E5" s="21" t="n">
        <v>11020</v>
      </c>
      <c r="F5" s="33" t="n">
        <v>57.9</v>
      </c>
      <c r="G5" s="33" t="n">
        <v>120.4</v>
      </c>
      <c r="H5" s="33" t="n">
        <v>162.6</v>
      </c>
      <c r="I5" s="33" t="n">
        <v>84.3</v>
      </c>
      <c r="J5" s="33" t="n">
        <v>252.9</v>
      </c>
      <c r="K5" s="33" t="n">
        <v>6</v>
      </c>
    </row>
    <row r="6">
      <c r="B6" s="35" t="inlineStr">
        <is>
          <t>TOTAL</t>
        </is>
      </c>
      <c r="C6" s="36" t="n">
        <v>72</v>
      </c>
      <c r="D6" s="36" t="n">
        <v>11756800</v>
      </c>
      <c r="E6" s="36" t="n">
        <v>70804</v>
      </c>
      <c r="F6" s="37" t="n">
        <v>60.4</v>
      </c>
      <c r="G6" s="37" t="n">
        <v>777.4</v>
      </c>
      <c r="H6" s="37" t="n">
        <v>1049.5</v>
      </c>
      <c r="I6" s="37" t="n">
        <v>544.2</v>
      </c>
      <c r="J6" s="37" t="n">
        <v>1632.6</v>
      </c>
      <c r="K6" s="37" t="n">
        <v>38.9</v>
      </c>
    </row>
  </sheetData>
  <mergeCells count="1">
    <mergeCell ref="B1:K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 ht="28" customHeight="1">
      <c r="B1" s="19" t="inlineStr">
        <is>
          <t>DAMPAK SEKTORAL PDRB SULAWESI TENGAH — BAU vs RE+APC (Rp Miliar)</t>
        </is>
      </c>
    </row>
    <row r="2" ht="22" customHeight="1">
      <c r="B2" s="38" t="inlineStr">
        <is>
          <t>Data berbasis I-O (Input-Output) CREA-CELIOS 2024. Th.1=fase konstruksi; Th.9=fase operasi jangka panjang skenario BAU.</t>
        </is>
      </c>
    </row>
    <row r="3" ht="22" customHeight="1">
      <c r="B3" s="9" t="inlineStr">
        <is>
          <t>Sektor</t>
        </is>
      </c>
      <c r="C3" s="9" t="inlineStr">
        <is>
          <t>BAU Th.1 (Rp M)</t>
        </is>
      </c>
      <c r="D3" s="9" t="inlineStr">
        <is>
          <t>BAU Th.9 (Rp M)</t>
        </is>
      </c>
      <c r="E3" s="9" t="inlineStr">
        <is>
          <t>RE+APC Th.9 (Rp M)</t>
        </is>
      </c>
    </row>
    <row r="4">
      <c r="B4" s="10" t="inlineStr">
        <is>
          <t>Pertanian</t>
        </is>
      </c>
      <c r="C4" s="21" t="n">
        <v>45</v>
      </c>
      <c r="D4" s="39" t="n">
        <v>-394</v>
      </c>
      <c r="E4" s="39" t="n">
        <v>-50</v>
      </c>
    </row>
    <row r="5">
      <c r="B5" s="12" t="inlineStr">
        <is>
          <t>Pertambangan</t>
        </is>
      </c>
      <c r="C5" s="40" t="n">
        <v>320</v>
      </c>
      <c r="D5" s="24" t="n">
        <v>82</v>
      </c>
      <c r="E5" s="40" t="n">
        <v>280</v>
      </c>
    </row>
    <row r="6">
      <c r="B6" s="10" t="inlineStr">
        <is>
          <t>Industri Pengolahan</t>
        </is>
      </c>
      <c r="C6" s="40" t="n">
        <v>180</v>
      </c>
      <c r="D6" s="39" t="n">
        <v>-210</v>
      </c>
      <c r="E6" s="40" t="n">
        <v>150</v>
      </c>
    </row>
    <row r="7">
      <c r="B7" s="12" t="inlineStr">
        <is>
          <t>Listrik &amp; Gas</t>
        </is>
      </c>
      <c r="C7" s="40" t="n">
        <v>161</v>
      </c>
      <c r="D7" s="39" t="n">
        <v>-45</v>
      </c>
      <c r="E7" s="40" t="n">
        <v>320</v>
      </c>
    </row>
    <row r="8">
      <c r="B8" s="10" t="inlineStr">
        <is>
          <t>Konstruksi</t>
        </is>
      </c>
      <c r="C8" s="21" t="n">
        <v>89</v>
      </c>
      <c r="D8" s="39" t="n">
        <v>-120</v>
      </c>
      <c r="E8" s="21" t="n">
        <v>85</v>
      </c>
    </row>
    <row r="9">
      <c r="B9" s="12" t="inlineStr">
        <is>
          <t>Perdagangan</t>
        </is>
      </c>
      <c r="C9" s="24" t="n">
        <v>55</v>
      </c>
      <c r="D9" s="39" t="n">
        <v>-88</v>
      </c>
      <c r="E9" s="40" t="n">
        <v>110</v>
      </c>
    </row>
    <row r="10">
      <c r="B10" s="10" t="inlineStr">
        <is>
          <t>Transportasi</t>
        </is>
      </c>
      <c r="C10" s="21" t="n">
        <v>38</v>
      </c>
      <c r="D10" s="39" t="n">
        <v>-62</v>
      </c>
      <c r="E10" s="21" t="n">
        <v>95</v>
      </c>
    </row>
    <row r="11">
      <c r="B11" s="12" t="inlineStr">
        <is>
          <t>Jasa Keuangan</t>
        </is>
      </c>
      <c r="C11" s="40" t="n">
        <v>210</v>
      </c>
      <c r="D11" s="24" t="n">
        <v>38</v>
      </c>
      <c r="E11" s="40" t="n">
        <v>420</v>
      </c>
    </row>
    <row r="12">
      <c r="B12" s="10" t="inlineStr">
        <is>
          <t>Jasa Lainnya</t>
        </is>
      </c>
      <c r="C12" s="21" t="n">
        <v>62</v>
      </c>
      <c r="D12" s="39" t="n">
        <v>-55</v>
      </c>
      <c r="E12" s="21" t="n">
        <v>98</v>
      </c>
    </row>
    <row r="14" ht="22" customHeight="1">
      <c r="B14" s="41" t="inlineStr">
        <is>
          <t>⚠ Sektor Pertanian turun hingga -Rp394M pada Th.9 BAU → dampak terbesar. RE+APC membalik menjadi -Rp50M (pengurangan dampak 87%).</t>
        </is>
      </c>
    </row>
  </sheetData>
  <mergeCells count="3">
    <mergeCell ref="B2:E2"/>
    <mergeCell ref="B14:E14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8" customWidth="1" min="7" max="7"/>
  </cols>
  <sheetData>
    <row r="1" ht="28" customHeight="1">
      <c r="B1" s="19" t="inlineStr">
        <is>
          <t>STRATEGI PENURUNAN EMISI — FEASIBILITY &amp; PRIORITAS</t>
        </is>
      </c>
    </row>
    <row r="2" ht="22" customHeight="1">
      <c r="B2" s="9" t="inlineStr">
        <is>
          <t>Strategi</t>
        </is>
      </c>
      <c r="C2" s="9" t="inlineStr">
        <is>
          <t>Reduksi (%)</t>
        </is>
      </c>
      <c r="D2" s="9" t="inlineStr">
        <is>
          <t>CAPEX
(USD juta/pabrik)</t>
        </is>
      </c>
      <c r="E2" s="9" t="inlineStr">
        <is>
          <t>Payback
(Tahun)</t>
        </is>
      </c>
      <c r="F2" s="9" t="inlineStr">
        <is>
          <t>Kesiapan
Teknologi</t>
        </is>
      </c>
      <c r="G2" s="9" t="inlineStr">
        <is>
          <t>Prioritas</t>
        </is>
      </c>
    </row>
    <row r="3">
      <c r="B3" s="10" t="inlineStr">
        <is>
          <t>Transisi EBT (PLTU→Solar/Hidro)</t>
        </is>
      </c>
      <c r="C3" s="42" t="n">
        <v>65</v>
      </c>
      <c r="D3" s="11" t="n">
        <v>280</v>
      </c>
      <c r="E3" s="11" t="n">
        <v>7</v>
      </c>
      <c r="F3" s="11" t="inlineStr">
        <is>
          <t>Siap</t>
        </is>
      </c>
      <c r="G3" s="43" t="inlineStr">
        <is>
          <t>Jangka Pendek</t>
        </is>
      </c>
    </row>
    <row r="4">
      <c r="B4" s="12" t="inlineStr">
        <is>
          <t>Efisiensi Energi Smelter</t>
        </is>
      </c>
      <c r="C4" s="44" t="n">
        <v>12</v>
      </c>
      <c r="D4" s="13" t="n">
        <v>45</v>
      </c>
      <c r="E4" s="13" t="n">
        <v>4</v>
      </c>
      <c r="F4" s="13" t="inlineStr">
        <is>
          <t>Siap</t>
        </is>
      </c>
      <c r="G4" s="43" t="inlineStr">
        <is>
          <t>Jangka Pendek</t>
        </is>
      </c>
    </row>
    <row r="5">
      <c r="B5" s="10" t="inlineStr">
        <is>
          <t>Carbon Offset &amp; Mangrove</t>
        </is>
      </c>
      <c r="C5" s="42" t="n">
        <v>8</v>
      </c>
      <c r="D5" s="11" t="n">
        <v>15</v>
      </c>
      <c r="E5" s="11" t="n">
        <v>10</v>
      </c>
      <c r="F5" s="11" t="inlineStr">
        <is>
          <t>Siap</t>
        </is>
      </c>
      <c r="G5" s="43" t="inlineStr">
        <is>
          <t>Jangka Pendek</t>
        </is>
      </c>
    </row>
    <row r="6">
      <c r="B6" s="12" t="inlineStr">
        <is>
          <t>Carbon Capture &amp; Storage (CCS)</t>
        </is>
      </c>
      <c r="C6" s="44" t="n">
        <v>15</v>
      </c>
      <c r="D6" s="13" t="n">
        <v>120</v>
      </c>
      <c r="E6" s="13" t="n">
        <v>15</v>
      </c>
      <c r="F6" s="13" t="inlineStr">
        <is>
          <t>Berkembang</t>
        </is>
      </c>
      <c r="G6" s="45" t="inlineStr">
        <is>
          <t>Jangka Menengah</t>
        </is>
      </c>
    </row>
    <row r="7">
      <c r="B7" s="10" t="inlineStr">
        <is>
          <t>H₂ Hijau (NPI→HPAL)</t>
        </is>
      </c>
      <c r="C7" s="42" t="n">
        <v>80</v>
      </c>
      <c r="D7" s="11" t="n">
        <v>850</v>
      </c>
      <c r="E7" s="11" t="n">
        <v>12</v>
      </c>
      <c r="F7" s="11" t="inlineStr">
        <is>
          <t>Riset</t>
        </is>
      </c>
      <c r="G7" s="46" t="inlineStr">
        <is>
          <t>Jangka Panjang</t>
        </is>
      </c>
    </row>
    <row r="9" ht="24" customHeight="1">
      <c r="B9" s="47" t="inlineStr">
        <is>
          <t>Rekomendasi: Implementasi paket Efisiensi Energi + Transisi EBT sebagai quick win (ROI &lt;7 thn, reduksi total 77%). CCS &amp; H₂ Hijau untuk 2035+.</t>
        </is>
      </c>
    </row>
  </sheetData>
  <mergeCells count="2">
    <mergeCell ref="B9:G9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B1" s="19" t="inlineStr">
        <is>
          <t>ANALISIS RISIKO EMISI &amp; SHAP FEATURE IMPORTANCE</t>
        </is>
      </c>
    </row>
    <row r="2" ht="22" customHeight="1">
      <c r="B2" s="8" t="inlineStr">
        <is>
          <t>Distribusi Risiko Emisi per Provinsi</t>
        </is>
      </c>
    </row>
    <row r="3" ht="22" customHeight="1">
      <c r="B3" s="9" t="inlineStr">
        <is>
          <t>Provinsi</t>
        </is>
      </c>
      <c r="C3" s="9" t="inlineStr">
        <is>
          <t>Sangat Rendah</t>
        </is>
      </c>
      <c r="D3" s="9" t="inlineStr">
        <is>
          <t>Rendah</t>
        </is>
      </c>
      <c r="E3" s="9" t="inlineStr">
        <is>
          <t>Sedang</t>
        </is>
      </c>
      <c r="F3" s="9" t="inlineStr">
        <is>
          <t>Tinggi</t>
        </is>
      </c>
      <c r="G3" s="9" t="inlineStr">
        <is>
          <t>Total</t>
        </is>
      </c>
    </row>
    <row r="4">
      <c r="B4" s="10" t="inlineStr">
        <is>
          <t>Maluku Utara</t>
        </is>
      </c>
      <c r="C4" s="11" t="n">
        <v>3</v>
      </c>
      <c r="D4" s="11" t="n">
        <v>0</v>
      </c>
      <c r="E4" s="11" t="n">
        <v>1</v>
      </c>
      <c r="F4" s="11" t="n">
        <v>20</v>
      </c>
      <c r="G4" s="11" t="n">
        <v>24</v>
      </c>
    </row>
    <row r="5">
      <c r="B5" s="12" t="inlineStr">
        <is>
          <t>Sulawesi Tengah</t>
        </is>
      </c>
      <c r="C5" s="13" t="n">
        <v>2</v>
      </c>
      <c r="D5" s="13" t="n">
        <v>0</v>
      </c>
      <c r="E5" s="13" t="n">
        <v>1</v>
      </c>
      <c r="F5" s="13" t="n">
        <v>24</v>
      </c>
      <c r="G5" s="13" t="n">
        <v>27</v>
      </c>
    </row>
    <row r="6">
      <c r="B6" s="10" t="inlineStr">
        <is>
          <t>Sulawesi Tenggara</t>
        </is>
      </c>
      <c r="C6" s="11" t="n">
        <v>2</v>
      </c>
      <c r="D6" s="11" t="n">
        <v>1</v>
      </c>
      <c r="E6" s="11" t="n">
        <v>3</v>
      </c>
      <c r="F6" s="11" t="n">
        <v>15</v>
      </c>
      <c r="G6" s="11" t="n">
        <v>21</v>
      </c>
    </row>
    <row r="9" ht="22" customHeight="1">
      <c r="B9" s="8" t="inlineStr">
        <is>
          <t>SHAP / Bayesian SNR — Fitur Paling Berpengaruh (Model GTWR)</t>
        </is>
      </c>
    </row>
    <row r="10" ht="22" customHeight="1">
      <c r="B10" s="9" t="inlineStr">
        <is>
          <t>Fitur</t>
        </is>
      </c>
      <c r="C10" s="9" t="inlineStr">
        <is>
          <t>Bayesian SNR</t>
        </is>
      </c>
      <c r="D10" s="9" t="inlineStr">
        <is>
          <t>GTWR β-Var</t>
        </is>
      </c>
      <c r="E10" s="9" t="inlineStr">
        <is>
          <t>Interpretasi</t>
        </is>
      </c>
      <c r="F10" s="9" t="inlineStr">
        <is>
          <t>Arah Pengaruh</t>
        </is>
      </c>
    </row>
    <row r="11">
      <c r="B11" s="10" t="inlineStr">
        <is>
          <t>Sektor Pertanian</t>
        </is>
      </c>
      <c r="C11" s="48" t="n">
        <v>1.78</v>
      </c>
      <c r="D11" s="48" t="n">
        <v>0.42</v>
      </c>
      <c r="E11" s="10" t="inlineStr">
        <is>
          <t>Paling signifikan</t>
        </is>
      </c>
      <c r="F11" s="49" t="inlineStr">
        <is>
          <t>Negatif (−)</t>
        </is>
      </c>
    </row>
    <row r="12">
      <c r="B12" s="12" t="inlineStr">
        <is>
          <t>Tahun_Num (temporal)</t>
        </is>
      </c>
      <c r="C12" s="50" t="n">
        <v>0.72</v>
      </c>
      <c r="D12" s="50" t="n">
        <v>0.31</v>
      </c>
      <c r="E12" s="12" t="inlineStr">
        <is>
          <t>Emisi memburuk seiring waktu</t>
        </is>
      </c>
      <c r="F12" s="49" t="inlineStr">
        <is>
          <t>Negatif (−)</t>
        </is>
      </c>
    </row>
    <row r="13">
      <c r="B13" s="10" t="inlineStr">
        <is>
          <t>Jasa Keuangan (sektor)</t>
        </is>
      </c>
      <c r="C13" s="48" t="n">
        <v>0.71</v>
      </c>
      <c r="D13" s="48" t="n">
        <v>0.28</v>
      </c>
      <c r="E13" s="10" t="inlineStr">
        <is>
          <t>Boom konstruksi fase awal</t>
        </is>
      </c>
      <c r="F13" s="51" t="inlineStr">
        <is>
          <t>Positif (+)</t>
        </is>
      </c>
    </row>
    <row r="14">
      <c r="B14" s="12" t="inlineStr">
        <is>
          <t>N_Perusahaan (spasial)</t>
        </is>
      </c>
      <c r="C14" s="50" t="n">
        <v>0.52</v>
      </c>
      <c r="D14" s="50" t="n">
        <v>0.25</v>
      </c>
      <c r="E14" s="12" t="inlineStr">
        <is>
          <t>Kepadatan smelter</t>
        </is>
      </c>
      <c r="F14" s="49" t="inlineStr">
        <is>
          <t>Negatif (−)</t>
        </is>
      </c>
    </row>
    <row r="15">
      <c r="B15" s="10" t="inlineStr">
        <is>
          <t>Mean_Usia fasilitas</t>
        </is>
      </c>
      <c r="C15" s="48" t="n">
        <v>0.49</v>
      </c>
      <c r="D15" s="48" t="n">
        <v>0.22</v>
      </c>
      <c r="E15" s="10" t="inlineStr">
        <is>
          <t>Smelter lama lebih efisien</t>
        </is>
      </c>
      <c r="F15" s="51" t="inlineStr">
        <is>
          <t>Positif (+)</t>
        </is>
      </c>
    </row>
    <row r="16">
      <c r="B16" s="12" t="inlineStr">
        <is>
          <t>Prov_Sultra</t>
        </is>
      </c>
      <c r="C16" s="50" t="n">
        <v>0.49</v>
      </c>
      <c r="D16" s="50" t="n">
        <v>0.21</v>
      </c>
      <c r="E16" s="12" t="inlineStr">
        <is>
          <t>Efek spasial Sultra</t>
        </is>
      </c>
      <c r="F16" s="52" t="inlineStr">
        <is>
          <t>Campuran</t>
        </is>
      </c>
    </row>
    <row r="17">
      <c r="B17" s="10" t="inlineStr">
        <is>
          <t>Total_MW kapasitas</t>
        </is>
      </c>
      <c r="C17" s="48" t="n">
        <v>0.48</v>
      </c>
      <c r="D17" s="48" t="n">
        <v>0.2</v>
      </c>
      <c r="E17" s="10" t="inlineStr">
        <is>
          <t>Kapasitas total smelter</t>
        </is>
      </c>
      <c r="F17" s="49" t="inlineStr">
        <is>
          <t>Negatif (−)</t>
        </is>
      </c>
    </row>
    <row r="18">
      <c r="B18" s="12" t="inlineStr">
        <is>
          <t>Mean_Output</t>
        </is>
      </c>
      <c r="C18" s="50" t="n">
        <v>0.48</v>
      </c>
      <c r="D18" s="50" t="n">
        <v>0.19</v>
      </c>
      <c r="E18" s="12" t="inlineStr">
        <is>
          <t>Volume produksi</t>
        </is>
      </c>
      <c r="F18" s="49" t="inlineStr">
        <is>
          <t>Negatif (−)</t>
        </is>
      </c>
    </row>
    <row r="19">
      <c r="B19" s="10" t="inlineStr">
        <is>
          <t>Mean_GHG</t>
        </is>
      </c>
      <c r="C19" s="48" t="n">
        <v>0.45</v>
      </c>
      <c r="D19" s="48" t="n">
        <v>0.18</v>
      </c>
      <c r="E19" s="10" t="inlineStr">
        <is>
          <t>Intensitas GHG rata-rata</t>
        </is>
      </c>
      <c r="F19" s="49" t="inlineStr">
        <is>
          <t>Negatif (−)</t>
        </is>
      </c>
    </row>
    <row r="20">
      <c r="B20" s="12" t="inlineStr">
        <is>
          <t>Konstruksi (sektor)</t>
        </is>
      </c>
      <c r="C20" s="50" t="n">
        <v>0.41</v>
      </c>
      <c r="D20" s="50" t="n">
        <v>0.16</v>
      </c>
      <c r="E20" s="12" t="inlineStr">
        <is>
          <t>Efek konstruksi</t>
        </is>
      </c>
      <c r="F20" s="51" t="inlineStr">
        <is>
          <t>Positif (+)</t>
        </is>
      </c>
    </row>
    <row r="21">
      <c r="B21" s="10" t="inlineStr">
        <is>
          <t>Listrik &amp; Gas (sektor)</t>
        </is>
      </c>
      <c r="C21" s="48" t="n">
        <v>0.32</v>
      </c>
      <c r="D21" s="48" t="n">
        <v>0.13</v>
      </c>
      <c r="E21" s="10" t="inlineStr">
        <is>
          <t>Konsumsi energi</t>
        </is>
      </c>
      <c r="F21" s="49" t="inlineStr">
        <is>
          <t>Negatif (−)</t>
        </is>
      </c>
    </row>
    <row r="22">
      <c r="B22" s="12" t="inlineStr">
        <is>
          <t>Rasio_Batubara</t>
        </is>
      </c>
      <c r="C22" s="50" t="n">
        <v>0.3</v>
      </c>
      <c r="D22" s="50" t="n">
        <v>0.12</v>
      </c>
      <c r="E22" s="12" t="inlineStr">
        <is>
          <t>Ketergantungan fosil</t>
        </is>
      </c>
      <c r="F22" s="49" t="inlineStr">
        <is>
          <t>Negatif (−)</t>
        </is>
      </c>
    </row>
  </sheetData>
  <mergeCells count="3">
    <mergeCell ref="B2:F2"/>
    <mergeCell ref="B9:F9"/>
    <mergeCell ref="B1:K1"/>
  </mergeCells>
  <conditionalFormatting sqref="C11:C22">
    <cfRule type="colorScale" priority="1">
      <colorScale>
        <cfvo type="min"/>
        <cfvo type="max"/>
        <color rgb="00FFFFFF"/>
        <color rgb="0001696F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</cols>
  <sheetData>
    <row r="1" ht="28" customHeight="1">
      <c r="B1" s="19" t="inlineStr">
        <is>
          <t>PANDUAN PENGGUNAAN &amp; METODOLOGI — LKTI HLHS PT IMIP 2026 TEMA 6</t>
        </is>
      </c>
    </row>
    <row r="2" ht="22" customHeight="1">
      <c r="B2" s="15" t="inlineStr">
        <is>
          <t>STRUKTUR WORKBOOK</t>
        </is>
      </c>
    </row>
    <row r="3" ht="28" customHeight="1">
      <c r="B3" s="53" t="inlineStr">
        <is>
          <t>Sheet 1: Overview</t>
        </is>
      </c>
      <c r="C3" s="54" t="inlineStr">
        <is>
          <t>Ringkasan dashboard KPI: total emisi, risiko, model comparison, dan 4 temuan kunci.</t>
        </is>
      </c>
    </row>
    <row r="4" ht="28" customHeight="1">
      <c r="B4" s="53" t="inlineStr">
        <is>
          <t>Sheet 2: Master Dataset</t>
        </is>
      </c>
      <c r="C4" s="54" t="inlineStr">
        <is>
          <t>72 perusahaan smelter nikel lengkap dengan 23 variabel. Filter auto-aktif. Heatmap GHG dan data bar emisi sudah tersemat.</t>
        </is>
      </c>
    </row>
    <row r="5" ht="28" customHeight="1">
      <c r="B5" s="53" t="inlineStr">
        <is>
          <t>Sheet 3: Tren Emisi</t>
        </is>
      </c>
      <c r="C5" s="54" t="inlineStr">
        <is>
          <t>Proyeksi 2020–2050, 3 skenario (BAU/NZE/JETP). Line chart interaktif. Tahun kunci (2025/2030/2040/2050) disorot kuning.</t>
        </is>
      </c>
    </row>
    <row r="6" ht="28" customHeight="1">
      <c r="B6" s="53" t="inlineStr">
        <is>
          <t>Sheet 4: Agregasi Provinsi</t>
        </is>
      </c>
      <c r="C6" s="54" t="inlineStr">
        <is>
          <t>Ringkasan per provinsi (Sulteng/Sultra/Malut). Pie chart share emisi + bar chart BAU vs NZE 2050.</t>
        </is>
      </c>
    </row>
    <row r="7" ht="28" customHeight="1">
      <c r="B7" s="53" t="inlineStr">
        <is>
          <t>Sheet 5: Dampak Sektoral</t>
        </is>
      </c>
      <c r="C7" s="54" t="inlineStr">
        <is>
          <t>Dampak PDRB 9 sektor Sulawesi Tengah (sumber: I-O table CREA-CELIOS). Merah=negatif, Hijau=positif.</t>
        </is>
      </c>
    </row>
    <row r="8" ht="28" customHeight="1">
      <c r="B8" s="53" t="inlineStr">
        <is>
          <t>Sheet 6: Strategi NZE</t>
        </is>
      </c>
      <c r="C8" s="54" t="inlineStr">
        <is>
          <t>5 strategi penurunan emisi dengan feasibility assessment: CAPEX, payback, kesiapan, prioritas.</t>
        </is>
      </c>
    </row>
    <row r="9" ht="28" customHeight="1">
      <c r="B9" s="53" t="inlineStr">
        <is>
          <t>Sheet 7: Risiko &amp; SHAP</t>
        </is>
      </c>
      <c r="C9" s="54" t="inlineStr">
        <is>
          <t>Distribusi risiko per provinsi + SHAP proxy analysis (Bayesian SNR) fitur paling berpengaruh.</t>
        </is>
      </c>
    </row>
    <row r="10" ht="28" customHeight="1">
      <c r="B10" s="53" t="inlineStr">
        <is>
          <t>Sheet 8: Panduan (ini)</t>
        </is>
      </c>
      <c r="C10" s="54" t="inlineStr">
        <is>
          <t>Dokumentasi metodologi, sumber data, dan catatan interpretasi.</t>
        </is>
      </c>
    </row>
    <row r="11" ht="22" customHeight="1">
      <c r="B11" s="55" t="inlineStr">
        <is>
          <t>SUMBER DATA</t>
        </is>
      </c>
    </row>
    <row r="12" ht="28" customHeight="1">
      <c r="B12" s="53" t="inlineStr">
        <is>
          <t>CREA-CELIOS (2024)</t>
        </is>
      </c>
      <c r="C12" s="54" t="inlineStr">
        <is>
          <t>Indonesia Nickel Development Report — tabel dampak ekonomi I-O, penyerapan TK, sektoral Sulteng &amp; Sultra.</t>
        </is>
      </c>
    </row>
    <row r="13" ht="28" customHeight="1">
      <c r="B13" s="53" t="inlineStr">
        <is>
          <t>IEEFA (Oktober 2024)</t>
        </is>
      </c>
      <c r="C13" s="54" t="inlineStr">
        <is>
          <t>Indonesia's Nickel Companies Need Renewable Energy — GHG intensity, RE share, kapasitas MW 5 perusahaan publik.</t>
        </is>
      </c>
    </row>
    <row r="14" ht="28" customHeight="1">
      <c r="B14" s="53" t="inlineStr">
        <is>
          <t>Estimasi Terstruktur</t>
        </is>
      </c>
      <c r="C14" s="54" t="inlineStr">
        <is>
          <t>67 perusahaan non-publik: GHG diestimasi berdasarkan komoditas (NPI=68.4, FeNi=45.0, MHP=10.0 jika non-batubara, Matte=35.0 tCO₂/tNi).</t>
        </is>
      </c>
    </row>
    <row r="15" ht="22" customHeight="1">
      <c r="B15" s="55" t="inlineStr">
        <is>
          <t>METODOLOGI MODEL</t>
        </is>
      </c>
    </row>
    <row r="16" ht="28" customHeight="1">
      <c r="B16" s="53" t="inlineStr">
        <is>
          <t>OLS &amp; Ridge (baseline)</t>
        </is>
      </c>
      <c r="C16" s="54" t="inlineStr">
        <is>
          <t>Regresi linier dan regularisasi Ridge (α=10). LOO-CV. R²-CV: 0.167–0.221.</t>
        </is>
      </c>
    </row>
    <row r="17" ht="28" customHeight="1">
      <c r="B17" s="53" t="inlineStr">
        <is>
          <t>GTWR (terbaik)</t>
        </is>
      </c>
      <c r="C17" s="54" t="inlineStr">
        <is>
          <t>Geographically &amp; Temporally Weighted Regression — bobot kernel Gaussian jarak &amp; temporal. R²-CV=0.744, MAE=23.8.</t>
        </is>
      </c>
    </row>
    <row r="18" ht="28" customHeight="1">
      <c r="B18" s="53" t="inlineStr">
        <is>
          <t>Bayesian ST (Gibbs)</t>
        </is>
      </c>
      <c r="C18" s="54" t="inlineStr">
        <is>
          <t>MCMC 5.000 iterasi, burnin 2.000. Estimasi posterior β ± σ per fitur. Unggul untuk analisis ketidakpastian.</t>
        </is>
      </c>
    </row>
    <row r="19" ht="28" customHeight="1">
      <c r="B19" s="53" t="inlineStr">
        <is>
          <t>ST-GCN</t>
        </is>
      </c>
      <c r="C19" s="54" t="inlineStr">
        <is>
          <t>Spatio-Temporal Graph Convolutional Network. Underperform karena hanya 2 provinsi × 2 timestep (terlalu sedikit node).</t>
        </is>
      </c>
    </row>
    <row r="20" ht="28" customHeight="1">
      <c r="B20" s="53" t="inlineStr">
        <is>
          <t>SHAP (Bayesian SNR)</t>
        </is>
      </c>
      <c r="C20" s="54" t="inlineStr">
        <is>
          <t>Signal-to-Noise Ratio = |β_mean|/β_std. Sektor Pertanian (SNR=1.78) dan Tahun_Num (SNR=0.72) adalah fitur paling signifikan.</t>
        </is>
      </c>
    </row>
    <row r="21" ht="22" customHeight="1">
      <c r="B21" s="56" t="inlineStr">
        <is>
          <t>CATATAN INTERPRETASI</t>
        </is>
      </c>
    </row>
    <row r="22" ht="28" customHeight="1">
      <c r="B22" s="53" t="inlineStr">
        <is>
          <t>Emisi bukan verified</t>
        </is>
      </c>
      <c r="C22" s="54" t="inlineStr">
        <is>
          <t>Data emisi sebagian besar estimasi — bukan hasil pengukuran langsung. Untuk publikasi ilmiah, validasi dengan KLHK/ESDM.</t>
        </is>
      </c>
    </row>
    <row r="23" ht="28" customHeight="1">
      <c r="B23" s="53" t="inlineStr">
        <is>
          <t>Proyeksi 2030/2040/2050</t>
        </is>
      </c>
      <c r="C23" s="54" t="inlineStr">
        <is>
          <t>BAU: growth 3.5%/thn. NZE: reduksi 6%/thn mulai 2025. JETP: reduksi 4.5%/thn. Asumsi konservatif.</t>
        </is>
      </c>
    </row>
    <row r="24" ht="28" customHeight="1">
      <c r="B24" s="53" t="inlineStr">
        <is>
          <t>Dashboard ini</t>
        </is>
      </c>
      <c r="C24" s="54" t="inlineStr">
        <is>
          <t>Prototype untuk Tahap Final LKTI — dikembangkan sebagai prototipe digital yang menunjukkan prinsip monitoring emisi smelter.</t>
        </is>
      </c>
    </row>
  </sheetData>
  <mergeCells count="5">
    <mergeCell ref="B21:C21"/>
    <mergeCell ref="B2:C2"/>
    <mergeCell ref="B15:C15"/>
    <mergeCell ref="B11:C1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2026-05-11T09:38:37Z</dcterms:created>
  <dcterms:modified xmlns:dcterms="http://purl.org/dc/terms/" xmlns:xsi="http://www.w3.org/2001/XMLSchema-instance" xsi:type="dcterms:W3CDTF">2026-05-11T09:41:17Z</dcterms:modified>
</cp:coreProperties>
</file>