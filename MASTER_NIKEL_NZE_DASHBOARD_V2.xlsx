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 Dataset" sheetId="2" state="visible" r:id="rId2"/>
    <sheet xmlns:r="http://schemas.openxmlformats.org/officeDocument/2006/relationships" name="Tren Emisi 2020-2050" sheetId="3" state="visible" r:id="rId3"/>
    <sheet xmlns:r="http://schemas.openxmlformats.org/officeDocument/2006/relationships" name="Tren Emisi 2020-20501" sheetId="4" state="visible" r:id="rId4"/>
    <sheet xmlns:r="http://schemas.openxmlformats.org/officeDocument/2006/relationships" name="Agregasi Provinsi" sheetId="5" state="visible" r:id="rId5"/>
    <sheet xmlns:r="http://schemas.openxmlformats.org/officeDocument/2006/relationships" name="Power Source &amp; Energi" sheetId="6" state="visible" r:id="rId6"/>
    <sheet xmlns:r="http://schemas.openxmlformats.org/officeDocument/2006/relationships" name="Strategi NZE" sheetId="7" state="visible" r:id="rId7"/>
    <sheet xmlns:r="http://schemas.openxmlformats.org/officeDocument/2006/relationships" name="Dampak Sektoral CREA-CELIOS" sheetId="8" state="visible" r:id="rId8"/>
    <sheet xmlns:r="http://schemas.openxmlformats.org/officeDocument/2006/relationships" name="Panduan &amp; Metodologi" sheetId="9" state="visible" r:id="rId9"/>
    <sheet xmlns:r="http://schemas.openxmlformats.org/officeDocument/2006/relationships" name="Panduan &amp; Metodologi1" sheetId="10" state="visible" r:id="rId10"/>
  </sheets>
  <definedNames>
    <definedName name="_xlnm._FilterDatabase" localSheetId="1" hidden="1">'Master Dataset'!$B$2:$AA$2</definedName>
    <definedName name="_xlnm._FilterDatabase" localSheetId="5" hidden="1">'Power Source &amp; Energi'!$B$3:$J$3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a7974"/>
      <sz val="9"/>
    </font>
    <font>
      <name val="Calibri"/>
      <b val="1"/>
      <color rgb="00FFFFFF"/>
      <sz val="16"/>
    </font>
    <font>
      <name val="Calibri"/>
      <b val="1"/>
      <color rgb="000F3638"/>
      <sz val="11"/>
    </font>
    <font>
      <name val="Calibri"/>
      <b val="1"/>
      <color rgb="00FFFFFF"/>
      <sz val="9"/>
    </font>
    <font>
      <name val="Calibri"/>
      <color rgb="0028251D"/>
      <sz val="9"/>
    </font>
    <font>
      <name val="Calibri"/>
      <b val="1"/>
      <color rgb="00FFFFFF"/>
      <sz val="11"/>
    </font>
    <font>
      <name val="Calibri"/>
      <i val="1"/>
      <color rgb="007a7974"/>
      <sz val="8"/>
    </font>
    <font>
      <name val="Calibri"/>
      <b val="1"/>
      <color rgb="001a5c10"/>
      <sz val="9"/>
    </font>
    <font>
      <name val="Calibri"/>
      <b val="1"/>
      <color rgb="00964219"/>
      <sz val="9"/>
    </font>
    <font>
      <name val="Calibri"/>
      <b val="1"/>
      <color rgb="00800000"/>
      <sz val="9"/>
    </font>
    <font>
      <name val="Calibri"/>
      <b val="1"/>
      <color rgb="00006494"/>
      <sz val="9"/>
    </font>
    <font>
      <name val="Calibri"/>
      <color rgb="00800000"/>
      <sz val="9"/>
    </font>
    <font>
      <name val="Calibri"/>
      <sz val="9"/>
    </font>
    <font>
      <name val="Calibri"/>
      <b val="1"/>
      <sz val="9"/>
    </font>
    <font>
      <name val="Calibri"/>
      <b val="1"/>
      <color rgb="000F3638"/>
      <sz val="9"/>
    </font>
    <font>
      <name val="Calibri"/>
      <color rgb="00964219"/>
      <sz val="9"/>
    </font>
    <font>
      <name val="Calibri"/>
      <b val="1"/>
      <color rgb="008B6914"/>
      <sz val="9"/>
    </font>
    <font>
      <name val="Calibri"/>
      <b val="1"/>
      <color rgb="00DA7101"/>
      <sz val="9"/>
    </font>
    <font>
      <name val="Calibri"/>
      <b val="1"/>
      <color rgb="000C4E54"/>
      <sz val="9"/>
    </font>
    <font>
      <name val="Calibri"/>
      <color rgb="001a5c10"/>
      <sz val="9"/>
    </font>
    <font>
      <name val="Calibri"/>
      <b val="1"/>
      <sz val="10"/>
    </font>
    <font>
      <name val="Calibri"/>
      <sz val="10"/>
    </font>
    <font>
      <name val="Calibri"/>
      <i val="1"/>
      <color rgb="000C4E54"/>
      <sz val="8"/>
    </font>
  </fonts>
  <fills count="20">
    <fill>
      <patternFill/>
    </fill>
    <fill>
      <patternFill patternType="gray125"/>
    </fill>
    <fill>
      <patternFill patternType="solid">
        <fgColor rgb="000F3638"/>
      </patternFill>
    </fill>
    <fill>
      <patternFill patternType="solid">
        <fgColor rgb="0001696F"/>
      </patternFill>
    </fill>
    <fill>
      <patternFill patternType="solid">
        <fgColor rgb="00A12C7B"/>
      </patternFill>
    </fill>
    <fill>
      <patternFill patternType="solid">
        <fgColor rgb="00DA7101"/>
      </patternFill>
    </fill>
    <fill>
      <patternFill patternType="solid">
        <fgColor rgb="00964219"/>
      </patternFill>
    </fill>
    <fill>
      <patternFill patternType="solid">
        <fgColor rgb="00006494"/>
      </patternFill>
    </fill>
    <fill>
      <patternFill patternType="solid">
        <fgColor rgb="00CEDCD8"/>
      </patternFill>
    </fill>
    <fill>
      <patternFill patternType="solid">
        <fgColor rgb="000C4E54"/>
      </patternFill>
    </fill>
    <fill>
      <patternFill patternType="solid">
        <fgColor rgb="00F3F0EC"/>
      </patternFill>
    </fill>
    <fill>
      <patternFill patternType="solid">
        <fgColor rgb="00FFFFFF"/>
      </patternFill>
    </fill>
    <fill>
      <patternFill patternType="solid">
        <fgColor rgb="00D4EFCC"/>
      </patternFill>
    </fill>
    <fill>
      <patternFill patternType="solid">
        <fgColor rgb="00FFE6CC"/>
      </patternFill>
    </fill>
    <fill>
      <patternFill patternType="solid">
        <fgColor rgb="00FFCCCC"/>
      </patternFill>
    </fill>
    <fill>
      <patternFill patternType="solid">
        <fgColor rgb="00CCE8FF"/>
      </patternFill>
    </fill>
    <fill>
      <patternFill patternType="solid">
        <fgColor rgb="00E8E8FF"/>
      </patternFill>
    </fill>
    <fill>
      <patternFill patternType="solid">
        <fgColor rgb="00FFF3CD"/>
      </patternFill>
    </fill>
    <fill>
      <patternFill patternType="solid">
        <fgColor rgb="00E0E0E0"/>
      </patternFill>
    </fill>
    <fill>
      <patternFill patternType="solid">
        <fgColor rgb="00FFE0CC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 indent="1"/>
    </xf>
    <xf numFmtId="0" fontId="6" fillId="11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2" fontId="6" fillId="11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0" fillId="10" borderId="1" applyAlignment="1" pivotButton="0" quotePrefix="0" xfId="0">
      <alignment horizontal="center" vertical="center"/>
    </xf>
    <xf numFmtId="3" fontId="14" fillId="10" borderId="1" applyAlignment="1" pivotButton="0" quotePrefix="0" xfId="0">
      <alignment horizontal="center" vertical="center"/>
    </xf>
    <xf numFmtId="2" fontId="14" fillId="10" borderId="1" applyAlignment="1" pivotButton="0" quotePrefix="0" xfId="0">
      <alignment horizontal="center" vertical="center"/>
    </xf>
    <xf numFmtId="3" fontId="14" fillId="11" borderId="1" applyAlignment="1" pivotButton="0" quotePrefix="0" xfId="0">
      <alignment horizontal="center" vertical="center"/>
    </xf>
    <xf numFmtId="2" fontId="14" fillId="11" borderId="1" applyAlignment="1" pivotButton="0" quotePrefix="0" xfId="0">
      <alignment horizontal="center" vertical="center"/>
    </xf>
    <xf numFmtId="3" fontId="15" fillId="17" borderId="1" applyAlignment="1" pivotButton="0" quotePrefix="0" xfId="0">
      <alignment horizontal="center" vertical="center"/>
    </xf>
    <xf numFmtId="2" fontId="15" fillId="1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164" fontId="6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4" fontId="6" fillId="11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4" fontId="16" fillId="8" borderId="1" applyAlignment="1" pivotButton="0" quotePrefix="0" xfId="0">
      <alignment horizontal="center" vertical="center"/>
    </xf>
    <xf numFmtId="3" fontId="10" fillId="19" borderId="1" applyAlignment="1" pivotButton="0" quotePrefix="0" xfId="0">
      <alignment horizontal="center" vertical="center"/>
    </xf>
    <xf numFmtId="3" fontId="17" fillId="19" borderId="1" applyAlignment="1" pivotButton="0" quotePrefix="0" xfId="0">
      <alignment horizontal="center" vertical="center"/>
    </xf>
    <xf numFmtId="3" fontId="16" fillId="8" borderId="1" applyAlignment="1" pivotButton="0" quotePrefix="0" xfId="0">
      <alignment horizontal="center" vertical="center"/>
    </xf>
    <xf numFmtId="0" fontId="5" fillId="9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6" fillId="10" borderId="1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left" vertical="center" wrapText="1" indent="1"/>
    </xf>
    <xf numFmtId="0" fontId="18" fillId="17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wrapText="1" indent="1"/>
    </xf>
    <xf numFmtId="3" fontId="11" fillId="14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center" vertical="center"/>
    </xf>
    <xf numFmtId="3" fontId="21" fillId="12" borderId="1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 wrapText="1" indent="1"/>
    </xf>
    <xf numFmtId="0" fontId="7" fillId="3" borderId="0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indent="1"/>
    </xf>
    <xf numFmtId="0" fontId="23" fillId="11" borderId="1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Proyeksi Emisi Smelter Nikel Indonesia (MtCO₂/thn)</a:t>
            </a:r>
          </a:p>
        </rich>
      </tx>
    </title>
    <plotArea>
      <lineChart>
        <grouping val="standard"/>
        <ser>
          <idx val="0"/>
          <order val="0"/>
          <tx>
            <strRef>
              <f>'Tren Emisi 2020-20501'!C3</f>
            </strRef>
          </tx>
          <spPr>
            <a:ln xmlns:a="http://schemas.openxmlformats.org/drawingml/2006/main">
              <a:solidFill>
                <a:srgbClr val="F869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2020-20501'!$B$4:$B$34</f>
            </numRef>
          </cat>
          <val>
            <numRef>
              <f>'Tren Emisi 2020-20501'!$C$4:$C$34</f>
            </numRef>
          </val>
        </ser>
        <ser>
          <idx val="1"/>
          <order val="1"/>
          <tx>
            <strRef>
              <f>'Tren Emisi 2020-20501'!D3</f>
            </strRef>
          </tx>
          <spPr>
            <a:ln xmlns:a="http://schemas.openxmlformats.org/drawingml/2006/main">
              <a:solidFill>
                <a:srgbClr val="63BE7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2020-20501'!$B$4:$B$34</f>
            </numRef>
          </cat>
          <val>
            <numRef>
              <f>'Tren Emisi 2020-20501'!$D$4:$D$34</f>
            </numRef>
          </val>
        </ser>
        <ser>
          <idx val="2"/>
          <order val="2"/>
          <tx>
            <strRef>
              <f>'Tren Emisi 2020-20501'!E3</f>
            </strRef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2020-20501'!$B$4:$B$34</f>
            </numRef>
          </cat>
          <val>
            <numRef>
              <f>'Tren Emisi 2020-20501'!$E$4:$E$34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Emisi (MtCO₂/thn)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Emisi 2025 per Provinsi (Operating)</a:t>
            </a:r>
          </a:p>
        </rich>
      </tx>
    </title>
    <plotArea>
      <pieChart>
        <varyColors val="1"/>
        <ser>
          <idx val="0"/>
          <order val="0"/>
          <tx>
            <strRef>
              <f>'Agregasi Provinsi'!F9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'Agregasi Provinsi'!$B$10:$B$12</f>
            </numRef>
          </cat>
          <val>
            <numRef>
              <f>'Agregasi Provinsi'!$F$10:$F$12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BAU vs NZE 2050 per Provinsi (MtCO₂)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'Agregasi Provinsi'!I9</f>
            </strRef>
          </tx>
          <spPr>
            <a:solidFill xmlns:a="http://schemas.openxmlformats.org/drawingml/2006/main">
              <a:srgbClr val="F8696B"/>
            </a:solidFill>
            <a:ln xmlns:a="http://schemas.openxmlformats.org/drawingml/2006/main">
              <a:prstDash val="solid"/>
            </a:ln>
          </spPr>
          <cat>
            <numRef>
              <f>'Agregasi Provinsi'!$B$10:$B$12</f>
            </numRef>
          </cat>
          <val>
            <numRef>
              <f>'Agregasi Provinsi'!$I$10:$I$12</f>
            </numRef>
          </val>
        </ser>
        <ser>
          <idx val="1"/>
          <order val="1"/>
          <tx>
            <strRef>
              <f>'Agregasi Provinsi'!J9</f>
            </strRef>
          </tx>
          <spPr>
            <a:solidFill xmlns:a="http://schemas.openxmlformats.org/drawingml/2006/main">
              <a:srgbClr val="63BE7B"/>
            </a:solidFill>
            <a:ln xmlns:a="http://schemas.openxmlformats.org/drawingml/2006/main">
              <a:prstDash val="solid"/>
            </a:ln>
          </spPr>
          <cat>
            <numRef>
              <f>'Agregasi Provinsi'!$B$10:$B$12</f>
            </numRef>
          </cat>
          <val>
            <numRef>
              <f>'Agregasi Provinsi'!$J$10:$J$12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MtCO₂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Kapasitas per Sumber Energi (MW, Operating)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 Source &amp; Energi'!C56</f>
            </strRef>
          </tx>
          <spPr>
            <a:solidFill xmlns:a="http://schemas.openxmlformats.org/drawingml/2006/main">
              <a:srgbClr val="01696F"/>
            </a:solidFill>
            <a:ln xmlns:a="http://schemas.openxmlformats.org/drawingml/2006/main">
              <a:prstDash val="solid"/>
            </a:ln>
          </spPr>
          <cat>
            <numRef>
              <f>'Power Source &amp; Energi'!$B$57:$B$62</f>
            </numRef>
          </cat>
          <val>
            <numRef>
              <f>'Power Source &amp; Energi'!$C$57:$C$62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Potensi Reduksi Emisi per Strategi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'Strategi NZE'!C2</f>
            </strRef>
          </tx>
          <spPr>
            <a:solidFill xmlns:a="http://schemas.openxmlformats.org/drawingml/2006/main">
              <a:srgbClr val="01696F"/>
            </a:solidFill>
            <a:ln xmlns:a="http://schemas.openxmlformats.org/drawingml/2006/main">
              <a:prstDash val="solid"/>
            </a:ln>
          </spPr>
          <cat>
            <numRef>
              <f>'Strategi NZE'!$B$3:$B$9</f>
            </numRef>
          </cat>
          <val>
            <numRef>
              <f>'Strategi NZE'!$C$3:$C$9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Reduksi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PDRB Sektoral: BAU Th.1 vs Th.9 vs RE+APC Th.9 (Rp 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'Dampak Sektoral CREA-CELIOS'!C3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'Dampak Sektoral CREA-CELIOS'!$B$4:$B$12</f>
            </numRef>
          </cat>
          <val>
            <numRef>
              <f>'Dampak Sektoral CREA-CELIOS'!$C$4:$C$12</f>
            </numRef>
          </val>
        </ser>
        <ser>
          <idx val="1"/>
          <order val="1"/>
          <tx>
            <strRef>
              <f>'Dampak Sektoral CREA-CELIOS'!D3</f>
            </strRef>
          </tx>
          <spPr>
            <a:solidFill xmlns:a="http://schemas.openxmlformats.org/drawingml/2006/main">
              <a:srgbClr val="F8696B"/>
            </a:solidFill>
            <a:ln xmlns:a="http://schemas.openxmlformats.org/drawingml/2006/main">
              <a:prstDash val="solid"/>
            </a:ln>
          </spPr>
          <cat>
            <numRef>
              <f>'Dampak Sektoral CREA-CELIOS'!$B$4:$B$12</f>
            </numRef>
          </cat>
          <val>
            <numRef>
              <f>'Dampak Sektoral CREA-CELIOS'!$D$4:$D$12</f>
            </numRef>
          </val>
        </ser>
        <ser>
          <idx val="2"/>
          <order val="2"/>
          <tx>
            <strRef>
              <f>'Dampak Sektoral CREA-CELIOS'!E3</f>
            </strRef>
          </tx>
          <spPr>
            <a:solidFill xmlns:a="http://schemas.openxmlformats.org/drawingml/2006/main">
              <a:srgbClr val="63BE7B"/>
            </a:solidFill>
            <a:ln xmlns:a="http://schemas.openxmlformats.org/drawingml/2006/main">
              <a:prstDash val="solid"/>
            </a:ln>
          </spPr>
          <cat>
            <numRef>
              <f>'Dampak Sektoral CREA-CELIOS'!$B$4:$B$12</f>
            </numRef>
          </cat>
          <val>
            <numRef>
              <f>'Dampak Sektoral CREA-CELIOS'!$E$4:$E$12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 Miliar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55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42" customHeight="1">
      <c r="B1" s="1" t="inlineStr">
        <is>
          <t>DASHBOARD EMISI SMELTER NIKEL INDONESIA — STRATEGI NET ZERO EMISSION 2050</t>
        </is>
      </c>
    </row>
    <row r="2" ht="15" customHeight="1">
      <c r="B2" s="2" t="inlineStr">
        <is>
          <t>Tema 6 LKTI HLHS PT IMIP 2026  |  Data: CGS Nickel Smelter Dataset V1 + CREA-CELIOS + IEEFA  |  11 May 2026</t>
        </is>
      </c>
    </row>
    <row r="3" ht="6" customHeight="1"/>
    <row r="4" ht="72" customHeight="1">
      <c r="B4" s="3" t="inlineStr">
        <is>
          <t>49
Operating
Smelter</t>
        </is>
      </c>
      <c r="D4" s="4" t="inlineStr">
        <is>
          <t>60 Mt
Emisi CO₂
(2025 Est.)</t>
        </is>
      </c>
      <c r="F4" s="5" t="inlineStr">
        <is>
          <t>69%
Smelter
Risiko Tinggi</t>
        </is>
      </c>
      <c r="H4" s="6" t="inlineStr">
        <is>
          <t>14,828 MW
Kapasitas
Batubara</t>
        </is>
      </c>
      <c r="J4" s="7" t="inlineStr">
        <is>
          <t>0.0%
RE Share
Rata-rata</t>
        </is>
      </c>
    </row>
    <row r="5"/>
    <row r="6"/>
    <row r="7"/>
    <row r="8"/>
    <row r="9"/>
    <row r="10" ht="8" customHeight="1"/>
    <row r="11" ht="22" customHeight="1">
      <c r="B11" s="8" t="inlineStr">
        <is>
          <t>Ringkasan Emisi per Provinsi (Operating)</t>
        </is>
      </c>
    </row>
    <row r="12" ht="30" customHeight="1">
      <c r="B12" s="9" t="inlineStr">
        <is>
          <t>Provinsi</t>
        </is>
      </c>
      <c r="C12" s="9" t="inlineStr">
        <is>
          <t>N Smelter</t>
        </is>
      </c>
      <c r="D12" s="9" t="inlineStr">
        <is>
          <t>Output (tpa)</t>
        </is>
      </c>
      <c r="E12" s="9" t="inlineStr">
        <is>
          <t>Ni Equiv (tpa)</t>
        </is>
      </c>
      <c r="F12" s="9" t="inlineStr">
        <is>
          <t>Emisi 2025
(MtCO₂)</t>
        </is>
      </c>
      <c r="G12" s="9" t="inlineStr">
        <is>
          <t>% Total</t>
        </is>
      </c>
    </row>
    <row r="13">
      <c r="B13" s="10" t="inlineStr">
        <is>
          <t>Maluku Utara</t>
        </is>
      </c>
      <c r="C13" s="11" t="n">
        <v>20</v>
      </c>
      <c r="D13" s="11" t="inlineStr">
        <is>
          <t>4,982,450</t>
        </is>
      </c>
      <c r="E13" s="11" t="inlineStr">
        <is>
          <t>776,000</t>
        </is>
      </c>
      <c r="F13" s="11" t="n">
        <v>38.64</v>
      </c>
      <c r="G13" s="11" t="inlineStr">
        <is>
          <t>64.4%</t>
        </is>
      </c>
    </row>
    <row r="14">
      <c r="B14" s="12" t="inlineStr">
        <is>
          <t>Sulawesi Tengah</t>
        </is>
      </c>
      <c r="C14" s="13" t="n">
        <v>24</v>
      </c>
      <c r="D14" s="13" t="inlineStr">
        <is>
          <t>8,552,882</t>
        </is>
      </c>
      <c r="E14" s="13" t="inlineStr">
        <is>
          <t>427,000</t>
        </is>
      </c>
      <c r="F14" s="13" t="n">
        <v>17.63</v>
      </c>
      <c r="G14" s="13" t="inlineStr">
        <is>
          <t>29.4%</t>
        </is>
      </c>
    </row>
    <row r="15">
      <c r="B15" s="10" t="inlineStr">
        <is>
          <t>Sulawesi Tenggara</t>
        </is>
      </c>
      <c r="C15" s="11" t="n">
        <v>5</v>
      </c>
      <c r="D15" s="11" t="inlineStr">
        <is>
          <t>3,864,259</t>
        </is>
      </c>
      <c r="E15" s="11" t="inlineStr">
        <is>
          <t>82,600</t>
        </is>
      </c>
      <c r="F15" s="11" t="n">
        <v>3.72</v>
      </c>
      <c r="G15" s="11" t="inlineStr">
        <is>
          <t>6.2%</t>
        </is>
      </c>
    </row>
    <row r="16" ht="8" customHeight="1"/>
    <row r="17" ht="22" customHeight="1">
      <c r="B17" s="8" t="inlineStr">
        <is>
          <t>Breakdown per Proses Smelting (Operating)</t>
        </is>
      </c>
    </row>
    <row r="18" ht="30" customHeight="1">
      <c r="B18" s="9" t="inlineStr">
        <is>
          <t>Proses</t>
        </is>
      </c>
      <c r="C18" s="9" t="inlineStr">
        <is>
          <t>N</t>
        </is>
      </c>
      <c r="D18" s="9" t="inlineStr">
        <is>
          <t>Output (tpa)</t>
        </is>
      </c>
      <c r="E18" s="9" t="inlineStr">
        <is>
          <t>Emisi (MtCO₂)</t>
        </is>
      </c>
      <c r="F18" s="9" t="inlineStr">
        <is>
          <t>Avg GHG (tCO₂/tNi)</t>
        </is>
      </c>
    </row>
    <row r="19">
      <c r="B19" s="10" t="inlineStr">
        <is>
          <t>RKEF</t>
        </is>
      </c>
      <c r="C19" s="11" t="n">
        <v>33</v>
      </c>
      <c r="D19" s="11" t="inlineStr">
        <is>
          <t>14,356,746</t>
        </is>
      </c>
      <c r="E19" s="11" t="n">
        <v>51.56</v>
      </c>
      <c r="F19" s="11" t="n">
        <v>62.5</v>
      </c>
    </row>
    <row r="20">
      <c r="B20" s="12" t="inlineStr">
        <is>
          <t>HPAL</t>
        </is>
      </c>
      <c r="C20" s="13" t="n">
        <v>7</v>
      </c>
      <c r="D20" s="13" t="inlineStr">
        <is>
          <t>781,864</t>
        </is>
      </c>
      <c r="E20" s="13" t="n">
        <v>5.36</v>
      </c>
      <c r="F20" s="13" t="n">
        <v>16.5</v>
      </c>
    </row>
    <row r="21">
      <c r="B21" s="10" t="inlineStr">
        <is>
          <t>SAF</t>
        </is>
      </c>
      <c r="C21" s="11" t="n">
        <v>1</v>
      </c>
      <c r="D21" s="11" t="inlineStr">
        <is>
          <t>350,000</t>
        </is>
      </c>
      <c r="E21" s="11" t="n">
        <v>3.08</v>
      </c>
      <c r="F21" s="11" t="n">
        <v>68.40000000000001</v>
      </c>
    </row>
    <row r="22">
      <c r="B22" s="12" t="inlineStr">
        <is>
          <t>BF</t>
        </is>
      </c>
      <c r="C22" s="13" t="n">
        <v>3</v>
      </c>
      <c r="D22" s="13" t="inlineStr">
        <is>
          <t>730,981</t>
        </is>
      </c>
      <c r="E22" s="13" t="n">
        <v>0</v>
      </c>
      <c r="F22" s="13" t="n">
        <v>68.40000000000001</v>
      </c>
    </row>
    <row r="23">
      <c r="B23" s="10" t="inlineStr">
        <is>
          <t>Unknown</t>
        </is>
      </c>
      <c r="C23" s="11" t="n">
        <v>5</v>
      </c>
      <c r="D23" s="11" t="inlineStr">
        <is>
          <t>1,180,000</t>
        </is>
      </c>
      <c r="E23" s="11" t="n">
        <v>0</v>
      </c>
      <c r="F23" s="11" t="n">
        <v>61.7</v>
      </c>
    </row>
    <row r="24" ht="8" customHeight="1"/>
    <row r="25" ht="22" customHeight="1">
      <c r="B25" s="14" t="inlineStr">
        <is>
          <t>Temuan Kunci &amp; Rekomendasi</t>
        </is>
      </c>
    </row>
    <row r="26" ht="22" customHeight="1">
      <c r="B26" s="15" t="inlineStr">
        <is>
          <t>1.  49 smelter operating di 3 provinsi — Sulteng 24, Malut 20, Sultra 5 — total emisi estimasi 60 MtCO₂/thn (2025).</t>
        </is>
      </c>
    </row>
    <row r="27" ht="22" customHeight="1">
      <c r="B27" s="16" t="inlineStr">
        <is>
          <t>2.  RKEF mendominasi (33 dari 49 smelter), rata-rata GHG 68.4 tCO₂/tNi — 3× ambang IEA 2030. Sumber: 100% PLTU batubara.</t>
        </is>
      </c>
    </row>
    <row r="28" ht="22" customHeight="1">
      <c r="B28" s="15" t="inlineStr">
        <is>
          <t>3.  HPAL (7 smelter, avg GHG ~10.5 tCO₂/tNi) adalah jalur produksi paling rendah emisi. Peningkatan proporsi HPAL = strategi kunci NZE.</t>
        </is>
      </c>
    </row>
    <row r="29" ht="22" customHeight="1">
      <c r="B29" s="16" t="inlineStr">
        <is>
          <t>4.  RE share rata-rata &lt;3%. Potensi reduksi via transisi EBT mencapai 65–75%. Prioritaskan kluster Morowali (Sulteng) &amp; IWIP (Malut) karena konsentrasi kapasitas terbesar.</t>
        </is>
      </c>
    </row>
    <row r="31" ht="14" customHeight="1">
      <c r="B31" s="17" t="inlineStr">
        <is>
          <t>Sumber: CGS Nickel Smelter Dataset V1 (2025) | CREA-CELIOS Indonesia Nickel Development (2024) | IEEFA Indonesia Nickel Companies Need RE (Oct 2024)</t>
        </is>
      </c>
    </row>
    <row r="33" ht="14" customHeight="1">
      <c r="B33" s="18" t="inlineStr">
        <is>
          <t>NAVIGASI CEPAT: Sheet 1=Overview | Sheet 2=Master Dataset | Sheet 3=Tren Emisi | Sheet 4=Agregasi Provinsi | Sheet 5=Power Source | Sheet 6=Strategi NZE | Sheet 7=Dampak Sektoral | Sheet 8=Panduan</t>
        </is>
      </c>
    </row>
  </sheetData>
  <mergeCells count="16">
    <mergeCell ref="B4:B9"/>
    <mergeCell ref="B31:K31"/>
    <mergeCell ref="B1:K1"/>
    <mergeCell ref="F4:F9"/>
    <mergeCell ref="D4:D9"/>
    <mergeCell ref="J4:J9"/>
    <mergeCell ref="H4:H9"/>
    <mergeCell ref="B26:K26"/>
    <mergeCell ref="B11:F11"/>
    <mergeCell ref="B27:K27"/>
    <mergeCell ref="B28:K28"/>
    <mergeCell ref="B29:K29"/>
    <mergeCell ref="B25:K25"/>
    <mergeCell ref="B2:K2"/>
    <mergeCell ref="B33:K33"/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9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8" customWidth="1" min="4" max="4"/>
    <col width="18" customWidth="1" min="5" max="5"/>
    <col width="8" customWidth="1" min="6" max="6"/>
    <col width="10" customWidth="1" min="7" max="7"/>
    <col width="11" customWidth="1" min="8" max="8"/>
    <col width="13" customWidth="1" min="9" max="9"/>
    <col width="12" customWidth="1" min="10" max="10"/>
    <col width="9" customWidth="1" min="11" max="11"/>
    <col width="9" customWidth="1" min="12" max="12"/>
    <col width="8" customWidth="1" min="13" max="13"/>
    <col width="10" customWidth="1" min="14" max="14"/>
    <col width="9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3" customWidth="1" min="21" max="21"/>
    <col width="13" customWidth="1" min="22" max="22"/>
    <col width="13" customWidth="1" min="23" max="23"/>
    <col width="16" customWidth="1" min="24" max="24"/>
    <col width="10" customWidth="1" min="25" max="25"/>
    <col width="10" customWidth="1" min="26" max="26"/>
    <col width="8" customWidth="1" min="27" max="27"/>
  </cols>
  <sheetData>
    <row r="1" ht="30" customHeight="1">
      <c r="B1" s="1" t="inlineStr">
        <is>
          <t>MASTER DATASET — 87 Smelter Nikel (Sulteng · Sultra · Maluku Utara) | Sumber: CGS V1 + IEEFA</t>
        </is>
      </c>
    </row>
    <row r="2" ht="35" customHeight="1">
      <c r="B2" s="9" t="inlineStr">
        <is>
          <t>Perusahaan</t>
        </is>
      </c>
      <c r="C2" s="9" t="inlineStr">
        <is>
          <t>Kawasan Industri</t>
        </is>
      </c>
      <c r="D2" s="9" t="inlineStr">
        <is>
          <t>Provinsi</t>
        </is>
      </c>
      <c r="E2" s="9" t="inlineStr">
        <is>
          <t>Kabupaten</t>
        </is>
      </c>
      <c r="F2" s="9" t="inlineStr">
        <is>
          <t>Proses</t>
        </is>
      </c>
      <c r="G2" s="9" t="inlineStr">
        <is>
          <t>Komoditas</t>
        </is>
      </c>
      <c r="H2" s="9" t="inlineStr">
        <is>
          <t>Status
2025</t>
        </is>
      </c>
      <c r="I2" s="9" t="inlineStr">
        <is>
          <t>Output
(tpa)</t>
        </is>
      </c>
      <c r="J2" s="9" t="inlineStr">
        <is>
          <t>Ni Equiv
(tpa)</t>
        </is>
      </c>
      <c r="K2" s="9" t="inlineStr">
        <is>
          <t>Total
MW</t>
        </is>
      </c>
      <c r="L2" s="9" t="inlineStr">
        <is>
          <t>Coal
MW</t>
        </is>
      </c>
      <c r="M2" s="9" t="inlineStr">
        <is>
          <t>RE
MW</t>
        </is>
      </c>
      <c r="N2" s="9" t="inlineStr">
        <is>
          <t>Rasio
Batubara</t>
        </is>
      </c>
      <c r="O2" s="9" t="inlineStr">
        <is>
          <t>RE Share
(%)</t>
        </is>
      </c>
      <c r="P2" s="9" t="inlineStr">
        <is>
          <t>GHG Adj
(tCO₂/tNi)</t>
        </is>
      </c>
      <c r="Q2" s="9" t="inlineStr">
        <is>
          <t>Emisi 2025
(tCO₂)</t>
        </is>
      </c>
      <c r="R2" s="9" t="inlineStr">
        <is>
          <t>Risiko
Emisi</t>
        </is>
      </c>
      <c r="S2" s="9" t="inlineStr">
        <is>
          <t>Skala
Produksi</t>
        </is>
      </c>
      <c r="T2" s="9" t="inlineStr">
        <is>
          <t>BAU 2030
(tCO₂)</t>
        </is>
      </c>
      <c r="U2" s="9" t="inlineStr">
        <is>
          <t>NZE 2030
(tCO₂)</t>
        </is>
      </c>
      <c r="V2" s="9" t="inlineStr">
        <is>
          <t>BAU 2050
(tCO₂)</t>
        </is>
      </c>
      <c r="W2" s="9" t="inlineStr">
        <is>
          <t>NZE 2050
(tCO₂)</t>
        </is>
      </c>
      <c r="X2" s="9" t="inlineStr">
        <is>
          <t>Pot. Reduksi
RE100 (tCO₂)</t>
        </is>
      </c>
      <c r="Y2" s="9" t="inlineStr">
        <is>
          <t>Lat</t>
        </is>
      </c>
      <c r="Z2" s="9" t="inlineStr">
        <is>
          <t>Lon</t>
        </is>
      </c>
      <c r="AA2" s="9" t="inlineStr">
        <is>
          <t>Publik</t>
        </is>
      </c>
    </row>
    <row r="3">
      <c r="B3" s="10" t="inlineStr">
        <is>
          <t xml:space="preserve">Karunia Permai Sentosa </t>
        </is>
      </c>
      <c r="C3" s="10" t="inlineStr">
        <is>
          <t>Kawasan Industri Pulau Obi / Obi Island Industrial Park</t>
        </is>
      </c>
      <c r="D3" s="11" t="inlineStr">
        <is>
          <t>Maluku Utara</t>
        </is>
      </c>
      <c r="E3" s="11" t="inlineStr">
        <is>
          <t>South Halmahera Regency</t>
        </is>
      </c>
      <c r="F3" s="11" t="inlineStr">
        <is>
          <t>RKEF</t>
        </is>
      </c>
      <c r="G3" s="11" t="inlineStr">
        <is>
          <t>FeNi</t>
        </is>
      </c>
      <c r="H3" s="19" t="inlineStr">
        <is>
          <t>Operating</t>
        </is>
      </c>
      <c r="I3" s="20" t="n">
        <v>0</v>
      </c>
      <c r="J3" s="20" t="n">
        <v>185000</v>
      </c>
      <c r="K3" s="20" t="n">
        <v>0</v>
      </c>
      <c r="L3" s="20" t="n">
        <v>0</v>
      </c>
      <c r="M3" s="20" t="n">
        <v>0</v>
      </c>
      <c r="N3" s="21" t="n">
        <v>0</v>
      </c>
      <c r="O3" s="21" t="n">
        <v>0</v>
      </c>
      <c r="P3" s="21" t="n">
        <v>45</v>
      </c>
      <c r="Q3" s="20" t="n">
        <v>8325000</v>
      </c>
      <c r="R3" s="22" t="inlineStr">
        <is>
          <t>Sedang</t>
        </is>
      </c>
      <c r="S3" s="11" t="inlineStr">
        <is>
          <t>Kecil</t>
        </is>
      </c>
      <c r="T3" s="20" t="n">
        <v>11238750</v>
      </c>
      <c r="U3" s="20" t="n">
        <v>5827500</v>
      </c>
      <c r="V3" s="20" t="n">
        <v>17482500</v>
      </c>
      <c r="W3" s="20" t="n">
        <v>416250</v>
      </c>
      <c r="X3" s="20" t="n">
        <v>0</v>
      </c>
      <c r="Y3" s="21" t="n">
        <v>-1.569</v>
      </c>
      <c r="Z3" s="21" t="n">
        <v>127.429</v>
      </c>
      <c r="AA3" s="11" t="inlineStr">
        <is>
          <t>Tidak</t>
        </is>
      </c>
    </row>
    <row r="4">
      <c r="B4" s="12" t="inlineStr">
        <is>
          <t>Halmahera Jaya Feronikel</t>
        </is>
      </c>
      <c r="C4" s="12" t="inlineStr">
        <is>
          <t>Kawasan Industri Pulau Obi / Obi Island Industrial Park</t>
        </is>
      </c>
      <c r="D4" s="13" t="inlineStr">
        <is>
          <t>Maluku Utara</t>
        </is>
      </c>
      <c r="E4" s="13" t="inlineStr">
        <is>
          <t>South Halmahera Regency</t>
        </is>
      </c>
      <c r="F4" s="13" t="inlineStr">
        <is>
          <t>RKEF</t>
        </is>
      </c>
      <c r="G4" s="13" t="inlineStr">
        <is>
          <t>NPI</t>
        </is>
      </c>
      <c r="H4" s="19" t="inlineStr">
        <is>
          <t>Operating</t>
        </is>
      </c>
      <c r="I4" s="23" t="n">
        <v>870000</v>
      </c>
      <c r="J4" s="23" t="n">
        <v>95000</v>
      </c>
      <c r="K4" s="23" t="n">
        <v>1074</v>
      </c>
      <c r="L4" s="23" t="n">
        <v>1074</v>
      </c>
      <c r="M4" s="23" t="n">
        <v>0</v>
      </c>
      <c r="N4" s="24" t="n">
        <v>1</v>
      </c>
      <c r="O4" s="24" t="n">
        <v>0</v>
      </c>
      <c r="P4" s="24" t="n">
        <v>68.40000000000001</v>
      </c>
      <c r="Q4" s="23" t="n">
        <v>6498000</v>
      </c>
      <c r="R4" s="25" t="inlineStr">
        <is>
          <t>Tinggi</t>
        </is>
      </c>
      <c r="S4" s="13" t="inlineStr">
        <is>
          <t>Raksasa</t>
        </is>
      </c>
      <c r="T4" s="23" t="n">
        <v>8772300</v>
      </c>
      <c r="U4" s="23" t="n">
        <v>4548600</v>
      </c>
      <c r="V4" s="23" t="n">
        <v>13645800</v>
      </c>
      <c r="W4" s="23" t="n">
        <v>324900</v>
      </c>
      <c r="X4" s="23" t="n">
        <v>5523300</v>
      </c>
      <c r="Y4" s="24" t="n">
        <v>-1.56</v>
      </c>
      <c r="Z4" s="24" t="n">
        <v>127.427</v>
      </c>
      <c r="AA4" s="13" t="inlineStr">
        <is>
          <t>Tidak</t>
        </is>
      </c>
    </row>
    <row r="5">
      <c r="B5" s="10" t="inlineStr">
        <is>
          <t>Huake Nickel Indonesia</t>
        </is>
      </c>
      <c r="C5" s="10" t="inlineStr">
        <is>
          <t>Indonesia Weda Bay Industrial Park (IWIP)</t>
        </is>
      </c>
      <c r="D5" s="11" t="inlineStr">
        <is>
          <t>Maluku Utara</t>
        </is>
      </c>
      <c r="E5" s="11" t="inlineStr">
        <is>
          <t>Central Halmahera Regency</t>
        </is>
      </c>
      <c r="F5" s="11" t="inlineStr">
        <is>
          <t>SAF</t>
        </is>
      </c>
      <c r="G5" s="11" t="inlineStr">
        <is>
          <t>NPI</t>
        </is>
      </c>
      <c r="H5" s="19" t="inlineStr">
        <is>
          <t>Operating</t>
        </is>
      </c>
      <c r="I5" s="20" t="n">
        <v>350000</v>
      </c>
      <c r="J5" s="20" t="n">
        <v>45000</v>
      </c>
      <c r="K5" s="20" t="n">
        <v>250</v>
      </c>
      <c r="L5" s="20" t="n">
        <v>250</v>
      </c>
      <c r="M5" s="20" t="n">
        <v>0</v>
      </c>
      <c r="N5" s="21" t="n">
        <v>1</v>
      </c>
      <c r="O5" s="21" t="n">
        <v>0</v>
      </c>
      <c r="P5" s="21" t="n">
        <v>68.40000000000001</v>
      </c>
      <c r="Q5" s="20" t="n">
        <v>3078000</v>
      </c>
      <c r="R5" s="25" t="inlineStr">
        <is>
          <t>Tinggi</t>
        </is>
      </c>
      <c r="S5" s="11" t="inlineStr">
        <is>
          <t>Raksasa</t>
        </is>
      </c>
      <c r="T5" s="20" t="n">
        <v>4155300</v>
      </c>
      <c r="U5" s="20" t="n">
        <v>2154600</v>
      </c>
      <c r="V5" s="20" t="n">
        <v>6463800</v>
      </c>
      <c r="W5" s="20" t="n">
        <v>153900</v>
      </c>
      <c r="X5" s="20" t="n">
        <v>2616300</v>
      </c>
      <c r="Y5" s="21" t="n">
        <v>0.487</v>
      </c>
      <c r="Z5" s="21" t="n">
        <v>127.993</v>
      </c>
      <c r="AA5" s="11" t="inlineStr">
        <is>
          <t>Tidak</t>
        </is>
      </c>
    </row>
    <row r="6">
      <c r="B6" s="12" t="inlineStr">
        <is>
          <t>Sunny Metal Industry</t>
        </is>
      </c>
      <c r="C6" s="12" t="inlineStr">
        <is>
          <t>Indonesia Weda Bay Industrial Park (IWIP)</t>
        </is>
      </c>
      <c r="D6" s="13" t="inlineStr">
        <is>
          <t>Maluku Utara</t>
        </is>
      </c>
      <c r="E6" s="13" t="inlineStr">
        <is>
          <t>Central Halmahera Regency</t>
        </is>
      </c>
      <c r="F6" s="13" t="inlineStr">
        <is>
          <t>RKEF</t>
        </is>
      </c>
      <c r="G6" s="13" t="inlineStr">
        <is>
          <t>FeNi</t>
        </is>
      </c>
      <c r="H6" s="19" t="inlineStr">
        <is>
          <t>Operating</t>
        </is>
      </c>
      <c r="I6" s="23" t="n">
        <v>400000</v>
      </c>
      <c r="J6" s="23" t="n">
        <v>55000</v>
      </c>
      <c r="K6" s="23" t="n">
        <v>380</v>
      </c>
      <c r="L6" s="23" t="n">
        <v>380</v>
      </c>
      <c r="M6" s="23" t="n">
        <v>0</v>
      </c>
      <c r="N6" s="24" t="n">
        <v>1</v>
      </c>
      <c r="O6" s="24" t="n">
        <v>0</v>
      </c>
      <c r="P6" s="24" t="n">
        <v>45</v>
      </c>
      <c r="Q6" s="23" t="n">
        <v>2475000</v>
      </c>
      <c r="R6" s="22" t="inlineStr">
        <is>
          <t>Sedang</t>
        </is>
      </c>
      <c r="S6" s="13" t="inlineStr">
        <is>
          <t>Raksasa</t>
        </is>
      </c>
      <c r="T6" s="23" t="n">
        <v>3341250</v>
      </c>
      <c r="U6" s="23" t="n">
        <v>1732500</v>
      </c>
      <c r="V6" s="23" t="n">
        <v>5197500</v>
      </c>
      <c r="W6" s="23" t="n">
        <v>123750</v>
      </c>
      <c r="X6" s="23" t="n">
        <v>2103750</v>
      </c>
      <c r="Y6" s="24" t="n">
        <v>0.487</v>
      </c>
      <c r="Z6" s="24" t="n">
        <v>127.981</v>
      </c>
      <c r="AA6" s="13" t="inlineStr">
        <is>
          <t>Tidak</t>
        </is>
      </c>
    </row>
    <row r="7">
      <c r="B7" s="10" t="inlineStr">
        <is>
          <t>Angel Nickel Industry</t>
        </is>
      </c>
      <c r="C7" s="10" t="inlineStr">
        <is>
          <t>Indonesia Weda Bay Industrial Park (IWIP)</t>
        </is>
      </c>
      <c r="D7" s="11" t="inlineStr">
        <is>
          <t>Maluku Utara</t>
        </is>
      </c>
      <c r="E7" s="11" t="inlineStr">
        <is>
          <t>Central Halmahera Regency</t>
        </is>
      </c>
      <c r="F7" s="11" t="inlineStr">
        <is>
          <t>RKEF</t>
        </is>
      </c>
      <c r="G7" s="11" t="inlineStr">
        <is>
          <t>NPI</t>
        </is>
      </c>
      <c r="H7" s="19" t="inlineStr">
        <is>
          <t>Operating</t>
        </is>
      </c>
      <c r="I7" s="20" t="n">
        <v>350000</v>
      </c>
      <c r="J7" s="20" t="n">
        <v>36000</v>
      </c>
      <c r="K7" s="20" t="n">
        <v>760</v>
      </c>
      <c r="L7" s="20" t="n">
        <v>760</v>
      </c>
      <c r="M7" s="20" t="n">
        <v>0</v>
      </c>
      <c r="N7" s="21" t="n">
        <v>1</v>
      </c>
      <c r="O7" s="21" t="n">
        <v>0</v>
      </c>
      <c r="P7" s="21" t="n">
        <v>68.40000000000001</v>
      </c>
      <c r="Q7" s="20" t="n">
        <v>2462400</v>
      </c>
      <c r="R7" s="25" t="inlineStr">
        <is>
          <t>Tinggi</t>
        </is>
      </c>
      <c r="S7" s="11" t="inlineStr">
        <is>
          <t>Raksasa</t>
        </is>
      </c>
      <c r="T7" s="20" t="n">
        <v>3324240</v>
      </c>
      <c r="U7" s="20" t="n">
        <v>1723680</v>
      </c>
      <c r="V7" s="20" t="n">
        <v>5171040</v>
      </c>
      <c r="W7" s="20" t="n">
        <v>123120</v>
      </c>
      <c r="X7" s="20" t="n">
        <v>2093040</v>
      </c>
      <c r="Y7" s="21" t="n">
        <v>0.481</v>
      </c>
      <c r="Z7" s="21" t="n">
        <v>127.991</v>
      </c>
      <c r="AA7" s="11" t="inlineStr">
        <is>
          <t>Tidak</t>
        </is>
      </c>
    </row>
    <row r="8">
      <c r="B8" s="12" t="inlineStr">
        <is>
          <t>PT Langit Metal Industry</t>
        </is>
      </c>
      <c r="C8" s="12" t="inlineStr"/>
      <c r="D8" s="13" t="inlineStr">
        <is>
          <t>Maluku Utara</t>
        </is>
      </c>
      <c r="E8" s="13" t="inlineStr">
        <is>
          <t>Central Halmahera Regency</t>
        </is>
      </c>
      <c r="F8" s="13" t="inlineStr">
        <is>
          <t>RKEF</t>
        </is>
      </c>
      <c r="G8" s="13" t="inlineStr">
        <is>
          <t>NPI</t>
        </is>
      </c>
      <c r="H8" s="19" t="inlineStr">
        <is>
          <t>Operating</t>
        </is>
      </c>
      <c r="I8" s="23" t="n">
        <v>300000</v>
      </c>
      <c r="J8" s="23" t="n">
        <v>36000</v>
      </c>
      <c r="K8" s="23" t="n">
        <v>0</v>
      </c>
      <c r="L8" s="23" t="n">
        <v>0</v>
      </c>
      <c r="M8" s="23" t="n">
        <v>0</v>
      </c>
      <c r="N8" s="24" t="n">
        <v>0</v>
      </c>
      <c r="O8" s="24" t="n">
        <v>0</v>
      </c>
      <c r="P8" s="24" t="n">
        <v>68.40000000000001</v>
      </c>
      <c r="Q8" s="23" t="n">
        <v>2462400</v>
      </c>
      <c r="R8" s="25" t="inlineStr">
        <is>
          <t>Tinggi</t>
        </is>
      </c>
      <c r="S8" s="13" t="inlineStr">
        <is>
          <t>Raksasa</t>
        </is>
      </c>
      <c r="T8" s="23" t="n">
        <v>3324240</v>
      </c>
      <c r="U8" s="23" t="n">
        <v>1723680</v>
      </c>
      <c r="V8" s="23" t="n">
        <v>5171040</v>
      </c>
      <c r="W8" s="23" t="n">
        <v>123120</v>
      </c>
      <c r="X8" s="23" t="n">
        <v>0</v>
      </c>
      <c r="Y8" s="24" t="n">
        <v>0.485</v>
      </c>
      <c r="Z8" s="24" t="n">
        <v>127.985</v>
      </c>
      <c r="AA8" s="13" t="inlineStr">
        <is>
          <t>Tidak</t>
        </is>
      </c>
    </row>
    <row r="9">
      <c r="B9" s="10" t="inlineStr">
        <is>
          <t>Yashi Indonesia Investment</t>
        </is>
      </c>
      <c r="C9" s="10" t="inlineStr">
        <is>
          <t>Indonesia Weda Bay Industrial Park (IWIP)</t>
        </is>
      </c>
      <c r="D9" s="11" t="inlineStr">
        <is>
          <t>Maluku Utara</t>
        </is>
      </c>
      <c r="E9" s="11" t="inlineStr">
        <is>
          <t>Central Halmahera Regency</t>
        </is>
      </c>
      <c r="F9" s="11" t="inlineStr">
        <is>
          <t>RKEF</t>
        </is>
      </c>
      <c r="G9" s="11" t="inlineStr">
        <is>
          <t>NPI</t>
        </is>
      </c>
      <c r="H9" s="19" t="inlineStr">
        <is>
          <t>Operating</t>
        </is>
      </c>
      <c r="I9" s="20" t="n">
        <v>300000</v>
      </c>
      <c r="J9" s="20" t="n">
        <v>35000</v>
      </c>
      <c r="K9" s="20" t="n">
        <v>250</v>
      </c>
      <c r="L9" s="20" t="n">
        <v>250</v>
      </c>
      <c r="M9" s="20" t="n">
        <v>0</v>
      </c>
      <c r="N9" s="21" t="n">
        <v>1</v>
      </c>
      <c r="O9" s="21" t="n">
        <v>0</v>
      </c>
      <c r="P9" s="21" t="n">
        <v>68.40000000000001</v>
      </c>
      <c r="Q9" s="20" t="n">
        <v>2394000</v>
      </c>
      <c r="R9" s="25" t="inlineStr">
        <is>
          <t>Tinggi</t>
        </is>
      </c>
      <c r="S9" s="11" t="inlineStr">
        <is>
          <t>Raksasa</t>
        </is>
      </c>
      <c r="T9" s="20" t="n">
        <v>3231900</v>
      </c>
      <c r="U9" s="20" t="n">
        <v>1675800</v>
      </c>
      <c r="V9" s="20" t="n">
        <v>5027400</v>
      </c>
      <c r="W9" s="20" t="n">
        <v>119700</v>
      </c>
      <c r="X9" s="20" t="n">
        <v>2034900</v>
      </c>
      <c r="Y9" s="21" t="n">
        <v>0.481</v>
      </c>
      <c r="Z9" s="21" t="n">
        <v>127.997</v>
      </c>
      <c r="AA9" s="11" t="inlineStr">
        <is>
          <t>Tidak</t>
        </is>
      </c>
    </row>
    <row r="10">
      <c r="B10" s="12" t="inlineStr">
        <is>
          <t>Youshan Nickel Industry</t>
        </is>
      </c>
      <c r="C10" s="12" t="inlineStr">
        <is>
          <t>Indonesia Weda Bay Industrial Park (IWIP)</t>
        </is>
      </c>
      <c r="D10" s="13" t="inlineStr">
        <is>
          <t>Maluku Utara</t>
        </is>
      </c>
      <c r="E10" s="13" t="inlineStr">
        <is>
          <t>Central Halmahera Regency</t>
        </is>
      </c>
      <c r="F10" s="13" t="inlineStr">
        <is>
          <t>RKEF</t>
        </is>
      </c>
      <c r="G10" s="13" t="inlineStr">
        <is>
          <t>NPI</t>
        </is>
      </c>
      <c r="H10" s="19" t="inlineStr">
        <is>
          <t>Operating</t>
        </is>
      </c>
      <c r="I10" s="23" t="n">
        <v>300000</v>
      </c>
      <c r="J10" s="23" t="n">
        <v>34000</v>
      </c>
      <c r="K10" s="23" t="n">
        <v>250</v>
      </c>
      <c r="L10" s="23" t="n">
        <v>250</v>
      </c>
      <c r="M10" s="23" t="n">
        <v>0</v>
      </c>
      <c r="N10" s="24" t="n">
        <v>1</v>
      </c>
      <c r="O10" s="24" t="n">
        <v>0</v>
      </c>
      <c r="P10" s="24" t="n">
        <v>68.40000000000001</v>
      </c>
      <c r="Q10" s="23" t="n">
        <v>2325600</v>
      </c>
      <c r="R10" s="25" t="inlineStr">
        <is>
          <t>Tinggi</t>
        </is>
      </c>
      <c r="S10" s="13" t="inlineStr">
        <is>
          <t>Raksasa</t>
        </is>
      </c>
      <c r="T10" s="23" t="n">
        <v>3139560</v>
      </c>
      <c r="U10" s="23" t="n">
        <v>1627920</v>
      </c>
      <c r="V10" s="23" t="n">
        <v>4883760</v>
      </c>
      <c r="W10" s="23" t="n">
        <v>116280</v>
      </c>
      <c r="X10" s="23" t="n">
        <v>1976760</v>
      </c>
      <c r="Y10" s="24" t="n">
        <v>0.481</v>
      </c>
      <c r="Z10" s="24" t="n">
        <v>127.999</v>
      </c>
      <c r="AA10" s="13" t="inlineStr">
        <is>
          <t>Tidak</t>
        </is>
      </c>
    </row>
    <row r="11">
      <c r="B11" s="10" t="inlineStr">
        <is>
          <t>Weda Bay Nickel</t>
        </is>
      </c>
      <c r="C11" s="10" t="inlineStr">
        <is>
          <t>Indonesia Weda Bay Industrial Park (IWIP)</t>
        </is>
      </c>
      <c r="D11" s="11" t="inlineStr">
        <is>
          <t>Maluku Utara</t>
        </is>
      </c>
      <c r="E11" s="11" t="inlineStr">
        <is>
          <t>Central Halmahera Regency</t>
        </is>
      </c>
      <c r="F11" s="11" t="inlineStr">
        <is>
          <t>RKEF</t>
        </is>
      </c>
      <c r="G11" s="11" t="inlineStr">
        <is>
          <t>NPI</t>
        </is>
      </c>
      <c r="H11" s="19" t="inlineStr">
        <is>
          <t>Operating</t>
        </is>
      </c>
      <c r="I11" s="20" t="n">
        <v>300000</v>
      </c>
      <c r="J11" s="20" t="n">
        <v>30000</v>
      </c>
      <c r="K11" s="20" t="n">
        <v>250</v>
      </c>
      <c r="L11" s="20" t="n">
        <v>250</v>
      </c>
      <c r="M11" s="20" t="n">
        <v>0</v>
      </c>
      <c r="N11" s="21" t="n">
        <v>1</v>
      </c>
      <c r="O11" s="21" t="n">
        <v>0</v>
      </c>
      <c r="P11" s="21" t="n">
        <v>68.40000000000001</v>
      </c>
      <c r="Q11" s="20" t="n">
        <v>2052000</v>
      </c>
      <c r="R11" s="25" t="inlineStr">
        <is>
          <t>Tinggi</t>
        </is>
      </c>
      <c r="S11" s="11" t="inlineStr">
        <is>
          <t>Raksasa</t>
        </is>
      </c>
      <c r="T11" s="20" t="n">
        <v>2770200</v>
      </c>
      <c r="U11" s="20" t="n">
        <v>1436400</v>
      </c>
      <c r="V11" s="20" t="n">
        <v>4309200</v>
      </c>
      <c r="W11" s="20" t="n">
        <v>102600</v>
      </c>
      <c r="X11" s="20" t="n">
        <v>1744200</v>
      </c>
      <c r="Y11" s="21" t="n">
        <v>0.481</v>
      </c>
      <c r="Z11" s="21" t="n">
        <v>127.993</v>
      </c>
      <c r="AA11" s="11" t="inlineStr">
        <is>
          <t>Tidak</t>
        </is>
      </c>
    </row>
    <row r="12">
      <c r="B12" s="12" t="inlineStr">
        <is>
          <t>PT Westrong Metal Industry</t>
        </is>
      </c>
      <c r="C12" s="12" t="inlineStr">
        <is>
          <t>Indonesia Weda Bay Industrial Park (IWIP)</t>
        </is>
      </c>
      <c r="D12" s="13" t="inlineStr">
        <is>
          <t>Maluku Utara</t>
        </is>
      </c>
      <c r="E12" s="13" t="inlineStr">
        <is>
          <t>Central Halmahera Regency</t>
        </is>
      </c>
      <c r="F12" s="13" t="inlineStr">
        <is>
          <t>RKEF</t>
        </is>
      </c>
      <c r="G12" s="13" t="inlineStr">
        <is>
          <t>Ni Matte</t>
        </is>
      </c>
      <c r="H12" s="19" t="inlineStr">
        <is>
          <t>Operating</t>
        </is>
      </c>
      <c r="I12" s="23" t="n">
        <v>0</v>
      </c>
      <c r="J12" s="23" t="n">
        <v>56000</v>
      </c>
      <c r="K12" s="23" t="n">
        <v>0</v>
      </c>
      <c r="L12" s="23" t="n">
        <v>0</v>
      </c>
      <c r="M12" s="23" t="n">
        <v>0</v>
      </c>
      <c r="N12" s="24" t="n">
        <v>0</v>
      </c>
      <c r="O12" s="24" t="n">
        <v>0</v>
      </c>
      <c r="P12" s="24" t="n">
        <v>35</v>
      </c>
      <c r="Q12" s="23" t="n">
        <v>1960000</v>
      </c>
      <c r="R12" s="19" t="inlineStr">
        <is>
          <t>Rendah</t>
        </is>
      </c>
      <c r="S12" s="13" t="inlineStr">
        <is>
          <t>Kecil</t>
        </is>
      </c>
      <c r="T12" s="23" t="n">
        <v>2646000</v>
      </c>
      <c r="U12" s="23" t="n">
        <v>1372000</v>
      </c>
      <c r="V12" s="23" t="n">
        <v>4116000</v>
      </c>
      <c r="W12" s="23" t="n">
        <v>98000</v>
      </c>
      <c r="X12" s="23" t="n">
        <v>0</v>
      </c>
      <c r="Y12" s="24" t="n">
        <v>0.484</v>
      </c>
      <c r="Z12" s="24" t="n">
        <v>127.986</v>
      </c>
      <c r="AA12" s="13" t="inlineStr">
        <is>
          <t>Tidak</t>
        </is>
      </c>
    </row>
    <row r="13">
      <c r="B13" s="10" t="inlineStr">
        <is>
          <t>Megah Surya Pertiwi</t>
        </is>
      </c>
      <c r="C13" s="10" t="inlineStr">
        <is>
          <t>Kawasan Industri Pulau Obi / Obi Island Industrial Park</t>
        </is>
      </c>
      <c r="D13" s="11" t="inlineStr">
        <is>
          <t>Maluku Utara</t>
        </is>
      </c>
      <c r="E13" s="11" t="inlineStr">
        <is>
          <t>South Halmahera Regency</t>
        </is>
      </c>
      <c r="F13" s="11" t="inlineStr">
        <is>
          <t>RKEF</t>
        </is>
      </c>
      <c r="G13" s="11" t="inlineStr">
        <is>
          <t>NPI</t>
        </is>
      </c>
      <c r="H13" s="19" t="inlineStr">
        <is>
          <t>Operating</t>
        </is>
      </c>
      <c r="I13" s="20" t="n">
        <v>240000</v>
      </c>
      <c r="J13" s="20" t="n">
        <v>25000</v>
      </c>
      <c r="K13" s="20" t="n">
        <v>120</v>
      </c>
      <c r="L13" s="20" t="n">
        <v>120</v>
      </c>
      <c r="M13" s="20" t="n">
        <v>0</v>
      </c>
      <c r="N13" s="21" t="n">
        <v>1</v>
      </c>
      <c r="O13" s="21" t="n">
        <v>0</v>
      </c>
      <c r="P13" s="21" t="n">
        <v>68.40000000000001</v>
      </c>
      <c r="Q13" s="20" t="n">
        <v>1710000</v>
      </c>
      <c r="R13" s="25" t="inlineStr">
        <is>
          <t>Tinggi</t>
        </is>
      </c>
      <c r="S13" s="11" t="inlineStr">
        <is>
          <t>Besar</t>
        </is>
      </c>
      <c r="T13" s="20" t="n">
        <v>2308500</v>
      </c>
      <c r="U13" s="20" t="n">
        <v>1197000</v>
      </c>
      <c r="V13" s="20" t="n">
        <v>3591000</v>
      </c>
      <c r="W13" s="20" t="n">
        <v>85500</v>
      </c>
      <c r="X13" s="20" t="n">
        <v>1453500</v>
      </c>
      <c r="Y13" s="21" t="n">
        <v>-1.53</v>
      </c>
      <c r="Z13" s="21" t="n">
        <v>127.422</v>
      </c>
      <c r="AA13" s="11" t="inlineStr">
        <is>
          <t>Tidak</t>
        </is>
      </c>
    </row>
    <row r="14">
      <c r="B14" s="12" t="inlineStr">
        <is>
          <t xml:space="preserve">PT Andalan Metal Industry </t>
        </is>
      </c>
      <c r="C14" s="12" t="inlineStr">
        <is>
          <t>Indonesia Weda Bay Industrial Park (IWIP)</t>
        </is>
      </c>
      <c r="D14" s="13" t="inlineStr">
        <is>
          <t>Maluku Utara</t>
        </is>
      </c>
      <c r="E14" s="13" t="inlineStr">
        <is>
          <t>Central Halmahera Regency</t>
        </is>
      </c>
      <c r="F14" s="13" t="inlineStr">
        <is>
          <t>RKEF</t>
        </is>
      </c>
      <c r="G14" s="13" t="inlineStr">
        <is>
          <t>NPI</t>
        </is>
      </c>
      <c r="H14" s="19" t="inlineStr">
        <is>
          <t>Operating</t>
        </is>
      </c>
      <c r="I14" s="23" t="n">
        <v>150000</v>
      </c>
      <c r="J14" s="23" t="n">
        <v>24000</v>
      </c>
      <c r="K14" s="23" t="n">
        <v>0</v>
      </c>
      <c r="L14" s="23" t="n">
        <v>0</v>
      </c>
      <c r="M14" s="23" t="n">
        <v>0</v>
      </c>
      <c r="N14" s="24" t="n">
        <v>0</v>
      </c>
      <c r="O14" s="24" t="n">
        <v>0</v>
      </c>
      <c r="P14" s="24" t="n">
        <v>68.40000000000001</v>
      </c>
      <c r="Q14" s="23" t="n">
        <v>1641600</v>
      </c>
      <c r="R14" s="25" t="inlineStr">
        <is>
          <t>Tinggi</t>
        </is>
      </c>
      <c r="S14" s="13" t="inlineStr">
        <is>
          <t>Besar</t>
        </is>
      </c>
      <c r="T14" s="23" t="n">
        <v>2216160</v>
      </c>
      <c r="U14" s="23" t="n">
        <v>1149120</v>
      </c>
      <c r="V14" s="23" t="n">
        <v>3447360</v>
      </c>
      <c r="W14" s="23" t="n">
        <v>82080</v>
      </c>
      <c r="X14" s="23" t="n">
        <v>0</v>
      </c>
      <c r="Y14" s="24" t="n">
        <v>0.484</v>
      </c>
      <c r="Z14" s="24" t="n">
        <v>127.986</v>
      </c>
      <c r="AA14" s="13" t="inlineStr">
        <is>
          <t>Tidak</t>
        </is>
      </c>
    </row>
    <row r="15">
      <c r="B15" s="10" t="inlineStr">
        <is>
          <t>Obi Nickel Cobalt</t>
        </is>
      </c>
      <c r="C15" s="10" t="inlineStr">
        <is>
          <t>Kawasan Industri Pulau Obi / Obi Island Industrial Park</t>
        </is>
      </c>
      <c r="D15" s="11" t="inlineStr">
        <is>
          <t>Maluku Utara</t>
        </is>
      </c>
      <c r="E15" s="11" t="inlineStr">
        <is>
          <t>South Halmahera Regency</t>
        </is>
      </c>
      <c r="F15" s="11" t="inlineStr">
        <is>
          <t>HPAL</t>
        </is>
      </c>
      <c r="G15" s="11" t="inlineStr">
        <is>
          <t>MHP</t>
        </is>
      </c>
      <c r="H15" s="19" t="inlineStr">
        <is>
          <t>Operating</t>
        </is>
      </c>
      <c r="I15" s="20" t="n">
        <v>0</v>
      </c>
      <c r="J15" s="20" t="n">
        <v>65000</v>
      </c>
      <c r="K15" s="20" t="n">
        <v>1520</v>
      </c>
      <c r="L15" s="20" t="n">
        <v>1520</v>
      </c>
      <c r="M15" s="20" t="n">
        <v>0</v>
      </c>
      <c r="N15" s="21" t="n">
        <v>1</v>
      </c>
      <c r="O15" s="21" t="n">
        <v>0</v>
      </c>
      <c r="P15" s="21" t="n">
        <v>10.5</v>
      </c>
      <c r="Q15" s="20" t="n">
        <v>682500</v>
      </c>
      <c r="R15" s="19" t="inlineStr">
        <is>
          <t>Rendah</t>
        </is>
      </c>
      <c r="S15" s="11" t="inlineStr">
        <is>
          <t>Kecil</t>
        </is>
      </c>
      <c r="T15" s="20" t="n">
        <v>921375</v>
      </c>
      <c r="U15" s="20" t="n">
        <v>477750</v>
      </c>
      <c r="V15" s="20" t="n">
        <v>1433250</v>
      </c>
      <c r="W15" s="20" t="n">
        <v>34125</v>
      </c>
      <c r="X15" s="20" t="n">
        <v>580125</v>
      </c>
      <c r="Y15" s="21" t="n">
        <v>-1.534</v>
      </c>
      <c r="Z15" s="21" t="n">
        <v>127.419</v>
      </c>
      <c r="AA15" s="11" t="inlineStr">
        <is>
          <t>Tidak</t>
        </is>
      </c>
    </row>
    <row r="16">
      <c r="B16" s="12" t="inlineStr">
        <is>
          <t>Halmahera Persada Lygend</t>
        </is>
      </c>
      <c r="C16" s="12" t="inlineStr">
        <is>
          <t>Kawasan Industri Pulau Obi / Obi Island Industrial Park</t>
        </is>
      </c>
      <c r="D16" s="13" t="inlineStr">
        <is>
          <t>Maluku Utara</t>
        </is>
      </c>
      <c r="E16" s="13" t="inlineStr">
        <is>
          <t>South Halmahera Regency</t>
        </is>
      </c>
      <c r="F16" s="13" t="inlineStr">
        <is>
          <t>HPAL</t>
        </is>
      </c>
      <c r="G16" s="13" t="inlineStr">
        <is>
          <t>MHP</t>
        </is>
      </c>
      <c r="H16" s="19" t="inlineStr">
        <is>
          <t>Operating</t>
        </is>
      </c>
      <c r="I16" s="23" t="n">
        <v>365000</v>
      </c>
      <c r="J16" s="23" t="n">
        <v>55000</v>
      </c>
      <c r="K16" s="23" t="n">
        <v>1250</v>
      </c>
      <c r="L16" s="23" t="n">
        <v>1250</v>
      </c>
      <c r="M16" s="23" t="n">
        <v>0</v>
      </c>
      <c r="N16" s="24" t="n">
        <v>1</v>
      </c>
      <c r="O16" s="24" t="n">
        <v>0</v>
      </c>
      <c r="P16" s="24" t="n">
        <v>10.5</v>
      </c>
      <c r="Q16" s="23" t="n">
        <v>577500</v>
      </c>
      <c r="R16" s="19" t="inlineStr">
        <is>
          <t>Rendah</t>
        </is>
      </c>
      <c r="S16" s="13" t="inlineStr">
        <is>
          <t>Raksasa</t>
        </is>
      </c>
      <c r="T16" s="23" t="n">
        <v>779625</v>
      </c>
      <c r="U16" s="23" t="n">
        <v>404250</v>
      </c>
      <c r="V16" s="23" t="n">
        <v>1212750</v>
      </c>
      <c r="W16" s="23" t="n">
        <v>28875</v>
      </c>
      <c r="X16" s="23" t="n">
        <v>490875</v>
      </c>
      <c r="Y16" s="24" t="n">
        <v>-1.539</v>
      </c>
      <c r="Z16" s="24" t="n">
        <v>127.42</v>
      </c>
      <c r="AA16" s="13" t="inlineStr">
        <is>
          <t>Tidak</t>
        </is>
      </c>
    </row>
    <row r="17">
      <c r="B17" s="10" t="inlineStr">
        <is>
          <t>Wanatiara Persada</t>
        </is>
      </c>
      <c r="C17" s="10" t="inlineStr"/>
      <c r="D17" s="11" t="inlineStr">
        <is>
          <t>Maluku Utara</t>
        </is>
      </c>
      <c r="E17" s="11" t="inlineStr">
        <is>
          <t>South Halmahera Regency</t>
        </is>
      </c>
      <c r="F17" s="11" t="inlineStr">
        <is>
          <t>BF</t>
        </is>
      </c>
      <c r="G17" s="11" t="inlineStr">
        <is>
          <t>NPI</t>
        </is>
      </c>
      <c r="H17" s="19" t="inlineStr">
        <is>
          <t>Operating</t>
        </is>
      </c>
      <c r="I17" s="20" t="n">
        <v>209450</v>
      </c>
      <c r="J17" s="20" t="n">
        <v>0</v>
      </c>
      <c r="K17" s="20" t="n">
        <v>150</v>
      </c>
      <c r="L17" s="20" t="n">
        <v>150</v>
      </c>
      <c r="M17" s="20" t="n">
        <v>0</v>
      </c>
      <c r="N17" s="21" t="n">
        <v>1</v>
      </c>
      <c r="O17" s="21" t="n">
        <v>0</v>
      </c>
      <c r="P17" s="21" t="n">
        <v>68.40000000000001</v>
      </c>
      <c r="Q17" s="20" t="n">
        <v>0</v>
      </c>
      <c r="R17" s="25" t="inlineStr">
        <is>
          <t>Tinggi</t>
        </is>
      </c>
      <c r="S17" s="11" t="inlineStr">
        <is>
          <t>Besar</t>
        </is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1" t="n">
        <v>-1.459</v>
      </c>
      <c r="Z17" s="21" t="n">
        <v>127.438</v>
      </c>
      <c r="AA17" s="11" t="inlineStr">
        <is>
          <t>Tidak</t>
        </is>
      </c>
    </row>
    <row r="18">
      <c r="B18" s="12" t="inlineStr">
        <is>
          <t>Huafei Nickel Cobalt</t>
        </is>
      </c>
      <c r="C18" s="12" t="inlineStr">
        <is>
          <t>Indonesia Weda Bay Industrial Park (IWIP)</t>
        </is>
      </c>
      <c r="D18" s="13" t="inlineStr">
        <is>
          <t>Maluku Utara</t>
        </is>
      </c>
      <c r="E18" s="13" t="inlineStr">
        <is>
          <t>Central Halmahera Regency</t>
        </is>
      </c>
      <c r="F18" s="13" t="inlineStr">
        <is>
          <t>HPAL</t>
        </is>
      </c>
      <c r="G18" s="13" t="inlineStr">
        <is>
          <t>MHP</t>
        </is>
      </c>
      <c r="H18" s="19" t="inlineStr">
        <is>
          <t>Operating</t>
        </is>
      </c>
      <c r="I18" s="23" t="n">
        <v>120000</v>
      </c>
      <c r="J18" s="23" t="n">
        <v>0</v>
      </c>
      <c r="K18" s="23" t="n">
        <v>0</v>
      </c>
      <c r="L18" s="23" t="n">
        <v>0</v>
      </c>
      <c r="M18" s="23" t="n">
        <v>0</v>
      </c>
      <c r="N18" s="24" t="n">
        <v>0</v>
      </c>
      <c r="O18" s="24" t="n">
        <v>0</v>
      </c>
      <c r="P18" s="24" t="n">
        <v>10.5</v>
      </c>
      <c r="Q18" s="23" t="n">
        <v>0</v>
      </c>
      <c r="R18" s="19" t="inlineStr">
        <is>
          <t>Rendah</t>
        </is>
      </c>
      <c r="S18" s="13" t="inlineStr">
        <is>
          <t>Menengah</t>
        </is>
      </c>
      <c r="T18" s="23" t="n">
        <v>0</v>
      </c>
      <c r="U18" s="23" t="n">
        <v>0</v>
      </c>
      <c r="V18" s="23" t="n">
        <v>0</v>
      </c>
      <c r="W18" s="23" t="n">
        <v>0</v>
      </c>
      <c r="X18" s="23" t="n">
        <v>0</v>
      </c>
      <c r="Y18" s="24" t="n">
        <v>0.471</v>
      </c>
      <c r="Z18" s="24" t="n">
        <v>127.943</v>
      </c>
      <c r="AA18" s="13" t="inlineStr">
        <is>
          <t>Tidak</t>
        </is>
      </c>
    </row>
    <row r="19">
      <c r="B19" s="10" t="inlineStr">
        <is>
          <t>Perkasa Metal Industry</t>
        </is>
      </c>
      <c r="C19" s="10" t="inlineStr">
        <is>
          <t>Indonesia Weda Bay Industrial Park (IWIP)</t>
        </is>
      </c>
      <c r="D19" s="11" t="inlineStr">
        <is>
          <t>Maluku Utara</t>
        </is>
      </c>
      <c r="E19" s="11" t="inlineStr">
        <is>
          <t>Central Halmahera Regency</t>
        </is>
      </c>
      <c r="F19" s="11" t="inlineStr">
        <is>
          <t>Unknown</t>
        </is>
      </c>
      <c r="G19" s="11" t="inlineStr">
        <is>
          <t>NPI</t>
        </is>
      </c>
      <c r="H19" s="19" t="inlineStr">
        <is>
          <t>Operating</t>
        </is>
      </c>
      <c r="I19" s="20" t="n">
        <v>150000</v>
      </c>
      <c r="J19" s="20" t="n">
        <v>0</v>
      </c>
      <c r="K19" s="20" t="n">
        <v>206</v>
      </c>
      <c r="L19" s="20" t="n">
        <v>206</v>
      </c>
      <c r="M19" s="20" t="n">
        <v>0</v>
      </c>
      <c r="N19" s="21" t="n">
        <v>1</v>
      </c>
      <c r="O19" s="21" t="n">
        <v>0</v>
      </c>
      <c r="P19" s="21" t="n">
        <v>68.40000000000001</v>
      </c>
      <c r="Q19" s="20" t="n">
        <v>0</v>
      </c>
      <c r="R19" s="25" t="inlineStr">
        <is>
          <t>Tinggi</t>
        </is>
      </c>
      <c r="S19" s="11" t="inlineStr">
        <is>
          <t>Besar</t>
        </is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1" t="n">
        <v>0.488</v>
      </c>
      <c r="Z19" s="21" t="n">
        <v>127.971</v>
      </c>
      <c r="AA19" s="11" t="inlineStr">
        <is>
          <t>Tidak</t>
        </is>
      </c>
    </row>
    <row r="20">
      <c r="B20" s="12" t="inlineStr">
        <is>
          <t>PT Infei Metal Industry</t>
        </is>
      </c>
      <c r="C20" s="12" t="inlineStr">
        <is>
          <t>Indonesia Weda Bay Industrial Park (IWIP)</t>
        </is>
      </c>
      <c r="D20" s="13" t="inlineStr">
        <is>
          <t>Maluku Utara</t>
        </is>
      </c>
      <c r="E20" s="13" t="inlineStr">
        <is>
          <t>Central Halmahera Regency</t>
        </is>
      </c>
      <c r="F20" s="13" t="inlineStr">
        <is>
          <t>RKEF</t>
        </is>
      </c>
      <c r="G20" s="13" t="inlineStr">
        <is>
          <t>NPI</t>
        </is>
      </c>
      <c r="H20" s="19" t="inlineStr">
        <is>
          <t>Operating</t>
        </is>
      </c>
      <c r="I20" s="23" t="n">
        <v>28000</v>
      </c>
      <c r="J20" s="23" t="n">
        <v>0</v>
      </c>
      <c r="K20" s="23" t="n">
        <v>0</v>
      </c>
      <c r="L20" s="23" t="n">
        <v>0</v>
      </c>
      <c r="M20" s="23" t="n">
        <v>0</v>
      </c>
      <c r="N20" s="24" t="n">
        <v>0</v>
      </c>
      <c r="O20" s="24" t="n">
        <v>0</v>
      </c>
      <c r="P20" s="24" t="n">
        <v>68.40000000000001</v>
      </c>
      <c r="Q20" s="23" t="n">
        <v>0</v>
      </c>
      <c r="R20" s="25" t="inlineStr">
        <is>
          <t>Tinggi</t>
        </is>
      </c>
      <c r="S20" s="13" t="inlineStr">
        <is>
          <t>Kecil</t>
        </is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4" t="n">
        <v>0.482</v>
      </c>
      <c r="Z20" s="24" t="n">
        <v>127.991</v>
      </c>
      <c r="AA20" s="13" t="inlineStr">
        <is>
          <t>Tidak</t>
        </is>
      </c>
    </row>
    <row r="21">
      <c r="B21" s="10" t="inlineStr">
        <is>
          <t>PT Kao Rahai Smelters</t>
        </is>
      </c>
      <c r="C21" s="10" t="inlineStr">
        <is>
          <t>Indonesia Weda Bay Industrial Park (IWIP)</t>
        </is>
      </c>
      <c r="D21" s="11" t="inlineStr">
        <is>
          <t>Maluku Utara</t>
        </is>
      </c>
      <c r="E21" s="11" t="inlineStr">
        <is>
          <t>Central Halmahera Regency</t>
        </is>
      </c>
      <c r="F21" s="11" t="inlineStr">
        <is>
          <t>Unknown</t>
        </is>
      </c>
      <c r="G21" s="11" t="inlineStr">
        <is>
          <t>NPI</t>
        </is>
      </c>
      <c r="H21" s="19" t="inlineStr">
        <is>
          <t>Operating</t>
        </is>
      </c>
      <c r="I21" s="20" t="n">
        <v>350000</v>
      </c>
      <c r="J21" s="20" t="n">
        <v>0</v>
      </c>
      <c r="K21" s="20" t="n">
        <v>0</v>
      </c>
      <c r="L21" s="20" t="n">
        <v>0</v>
      </c>
      <c r="M21" s="20" t="n">
        <v>0</v>
      </c>
      <c r="N21" s="21" t="n">
        <v>0</v>
      </c>
      <c r="O21" s="21" t="n">
        <v>0</v>
      </c>
      <c r="P21" s="21" t="n">
        <v>68.40000000000001</v>
      </c>
      <c r="Q21" s="20" t="n">
        <v>0</v>
      </c>
      <c r="R21" s="25" t="inlineStr">
        <is>
          <t>Tinggi</t>
        </is>
      </c>
      <c r="S21" s="11" t="inlineStr">
        <is>
          <t>Raksasa</t>
        </is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1" t="n">
        <v>0.475</v>
      </c>
      <c r="Z21" s="21" t="n">
        <v>127.96</v>
      </c>
      <c r="AA21" s="11" t="inlineStr">
        <is>
          <t>Tidak</t>
        </is>
      </c>
    </row>
    <row r="22">
      <c r="B22" s="12" t="inlineStr">
        <is>
          <t>PT Jiu Long Metal Industry</t>
        </is>
      </c>
      <c r="C22" s="12" t="inlineStr">
        <is>
          <t>Indonesia Weda Bay Industrial Park (IWIP)</t>
        </is>
      </c>
      <c r="D22" s="13" t="inlineStr">
        <is>
          <t>Maluku Utara</t>
        </is>
      </c>
      <c r="E22" s="13" t="inlineStr">
        <is>
          <t>Central Halmahera Regency</t>
        </is>
      </c>
      <c r="F22" s="13" t="inlineStr">
        <is>
          <t>Unknown</t>
        </is>
      </c>
      <c r="G22" s="13" t="inlineStr">
        <is>
          <t>NPI</t>
        </is>
      </c>
      <c r="H22" s="19" t="inlineStr">
        <is>
          <t>Operating</t>
        </is>
      </c>
      <c r="I22" s="23" t="n">
        <v>200000</v>
      </c>
      <c r="J22" s="23" t="n">
        <v>0</v>
      </c>
      <c r="K22" s="23" t="n">
        <v>0</v>
      </c>
      <c r="L22" s="23" t="n">
        <v>0</v>
      </c>
      <c r="M22" s="23" t="n">
        <v>0</v>
      </c>
      <c r="N22" s="24" t="n">
        <v>0</v>
      </c>
      <c r="O22" s="24" t="n">
        <v>0</v>
      </c>
      <c r="P22" s="24" t="n">
        <v>68.40000000000001</v>
      </c>
      <c r="Q22" s="23" t="n">
        <v>0</v>
      </c>
      <c r="R22" s="25" t="inlineStr">
        <is>
          <t>Tinggi</t>
        </is>
      </c>
      <c r="S22" s="13" t="inlineStr">
        <is>
          <t>Besar</t>
        </is>
      </c>
      <c r="T22" s="23" t="n">
        <v>0</v>
      </c>
      <c r="U22" s="23" t="n">
        <v>0</v>
      </c>
      <c r="V22" s="23" t="n">
        <v>0</v>
      </c>
      <c r="W22" s="23" t="n">
        <v>0</v>
      </c>
      <c r="X22" s="23" t="n">
        <v>0</v>
      </c>
      <c r="Y22" s="24" t="n">
        <v>0.488</v>
      </c>
      <c r="Z22" s="24" t="n">
        <v>127.986</v>
      </c>
      <c r="AA22" s="13" t="inlineStr">
        <is>
          <t>Tidak</t>
        </is>
      </c>
    </row>
    <row r="23">
      <c r="B23" s="10" t="inlineStr">
        <is>
          <t>Nadesico Nickel Industry</t>
        </is>
      </c>
      <c r="C23" s="10" t="inlineStr">
        <is>
          <t>Kawasan Industri PT Stardust Estate Investment</t>
        </is>
      </c>
      <c r="D23" s="11" t="inlineStr">
        <is>
          <t>Sulawesi Tengah</t>
        </is>
      </c>
      <c r="E23" s="11" t="inlineStr">
        <is>
          <t>North Morowali Regency</t>
        </is>
      </c>
      <c r="F23" s="11" t="inlineStr">
        <is>
          <t>RKEF</t>
        </is>
      </c>
      <c r="G23" s="11" t="inlineStr">
        <is>
          <t>Ni Matte</t>
        </is>
      </c>
      <c r="H23" s="19" t="inlineStr">
        <is>
          <t>Operating</t>
        </is>
      </c>
      <c r="I23" s="20" t="n">
        <v>1800000</v>
      </c>
      <c r="J23" s="20" t="n">
        <v>80000</v>
      </c>
      <c r="K23" s="20" t="n">
        <v>0</v>
      </c>
      <c r="L23" s="20" t="n">
        <v>0</v>
      </c>
      <c r="M23" s="20" t="n">
        <v>0</v>
      </c>
      <c r="N23" s="21" t="n">
        <v>0</v>
      </c>
      <c r="O23" s="21" t="n">
        <v>0</v>
      </c>
      <c r="P23" s="21" t="n">
        <v>35</v>
      </c>
      <c r="Q23" s="20" t="n">
        <v>2800000</v>
      </c>
      <c r="R23" s="19" t="inlineStr">
        <is>
          <t>Rendah</t>
        </is>
      </c>
      <c r="S23" s="11" t="inlineStr">
        <is>
          <t>Raksasa</t>
        </is>
      </c>
      <c r="T23" s="20" t="n">
        <v>3780000</v>
      </c>
      <c r="U23" s="20" t="n">
        <v>1960000</v>
      </c>
      <c r="V23" s="20" t="n">
        <v>5880000</v>
      </c>
      <c r="W23" s="20" t="n">
        <v>140000</v>
      </c>
      <c r="X23" s="20" t="n">
        <v>0</v>
      </c>
      <c r="Y23" s="21" t="n">
        <v>-2.014</v>
      </c>
      <c r="Z23" s="21" t="n">
        <v>121.43</v>
      </c>
      <c r="AA23" s="11" t="inlineStr">
        <is>
          <t>Tidak</t>
        </is>
      </c>
    </row>
    <row r="24">
      <c r="B24" s="12" t="inlineStr">
        <is>
          <t>Dingxing New Energy</t>
        </is>
      </c>
      <c r="C24" s="12" t="inlineStr">
        <is>
          <t>Indonesia Morowali Industrial Park (IMIP)</t>
        </is>
      </c>
      <c r="D24" s="13" t="inlineStr">
        <is>
          <t>Sulawesi Tengah</t>
        </is>
      </c>
      <c r="E24" s="13" t="inlineStr">
        <is>
          <t>Morowali Regency</t>
        </is>
      </c>
      <c r="F24" s="13" t="inlineStr">
        <is>
          <t>HPAL</t>
        </is>
      </c>
      <c r="G24" s="13" t="inlineStr">
        <is>
          <t>Electrolytic Ni</t>
        </is>
      </c>
      <c r="H24" s="19" t="inlineStr">
        <is>
          <t>Operating</t>
        </is>
      </c>
      <c r="I24" s="23" t="n">
        <v>0</v>
      </c>
      <c r="J24" s="23" t="n">
        <v>50000</v>
      </c>
      <c r="K24" s="23" t="n">
        <v>0</v>
      </c>
      <c r="L24" s="23" t="n">
        <v>0</v>
      </c>
      <c r="M24" s="23" t="n">
        <v>0</v>
      </c>
      <c r="N24" s="24" t="n">
        <v>0</v>
      </c>
      <c r="O24" s="24" t="n">
        <v>0</v>
      </c>
      <c r="P24" s="24" t="n">
        <v>55</v>
      </c>
      <c r="Q24" s="23" t="n">
        <v>2750000</v>
      </c>
      <c r="R24" s="22" t="inlineStr">
        <is>
          <t>Sedang</t>
        </is>
      </c>
      <c r="S24" s="13" t="inlineStr">
        <is>
          <t>Kecil</t>
        </is>
      </c>
      <c r="T24" s="23" t="n">
        <v>3712500</v>
      </c>
      <c r="U24" s="23" t="n">
        <v>1925000</v>
      </c>
      <c r="V24" s="23" t="n">
        <v>5775000</v>
      </c>
      <c r="W24" s="23" t="n">
        <v>137500</v>
      </c>
      <c r="X24" s="23" t="n">
        <v>0</v>
      </c>
      <c r="Y24" s="24" t="n">
        <v>-2.823</v>
      </c>
      <c r="Z24" s="24" t="n">
        <v>122.137</v>
      </c>
      <c r="AA24" s="13" t="inlineStr">
        <is>
          <t>Tidak</t>
        </is>
      </c>
    </row>
    <row r="25">
      <c r="B25" s="10" t="inlineStr">
        <is>
          <t>Oracle Nickel</t>
        </is>
      </c>
      <c r="C25" s="10" t="inlineStr">
        <is>
          <t>Indonesia Morowali Industrial Park (IMIP)</t>
        </is>
      </c>
      <c r="D25" s="11" t="inlineStr">
        <is>
          <t>Sulawesi Tengah</t>
        </is>
      </c>
      <c r="E25" s="11" t="inlineStr">
        <is>
          <t>Morowali Regency</t>
        </is>
      </c>
      <c r="F25" s="11" t="inlineStr">
        <is>
          <t>RKEF</t>
        </is>
      </c>
      <c r="G25" s="11" t="inlineStr">
        <is>
          <t>NPI</t>
        </is>
      </c>
      <c r="H25" s="19" t="inlineStr">
        <is>
          <t>Operating</t>
        </is>
      </c>
      <c r="I25" s="20" t="n">
        <v>0</v>
      </c>
      <c r="J25" s="20" t="n">
        <v>36000</v>
      </c>
      <c r="K25" s="20" t="n">
        <v>0</v>
      </c>
      <c r="L25" s="20" t="n">
        <v>0</v>
      </c>
      <c r="M25" s="20" t="n">
        <v>0</v>
      </c>
      <c r="N25" s="21" t="n">
        <v>0</v>
      </c>
      <c r="O25" s="21" t="n">
        <v>0</v>
      </c>
      <c r="P25" s="21" t="n">
        <v>68.40000000000001</v>
      </c>
      <c r="Q25" s="20" t="n">
        <v>2462400</v>
      </c>
      <c r="R25" s="25" t="inlineStr">
        <is>
          <t>Tinggi</t>
        </is>
      </c>
      <c r="S25" s="11" t="inlineStr">
        <is>
          <t>Kecil</t>
        </is>
      </c>
      <c r="T25" s="20" t="n">
        <v>3324240</v>
      </c>
      <c r="U25" s="20" t="n">
        <v>1723680</v>
      </c>
      <c r="V25" s="20" t="n">
        <v>5171040</v>
      </c>
      <c r="W25" s="20" t="n">
        <v>123120</v>
      </c>
      <c r="X25" s="20" t="n">
        <v>0</v>
      </c>
      <c r="Y25" s="21" t="n">
        <v>-2.861</v>
      </c>
      <c r="Z25" s="21" t="n">
        <v>122.156</v>
      </c>
      <c r="AA25" s="11" t="inlineStr">
        <is>
          <t>Tidak</t>
        </is>
      </c>
    </row>
    <row r="26">
      <c r="B26" s="12" t="inlineStr">
        <is>
          <t>Sulawesi Mining Investment</t>
        </is>
      </c>
      <c r="C26" s="12" t="inlineStr">
        <is>
          <t>Indonesia Morowali Industrial Park (IMIP)</t>
        </is>
      </c>
      <c r="D26" s="13" t="inlineStr">
        <is>
          <t>Sulawesi Tengah</t>
        </is>
      </c>
      <c r="E26" s="13" t="inlineStr">
        <is>
          <t>Morowali Regency</t>
        </is>
      </c>
      <c r="F26" s="13" t="inlineStr">
        <is>
          <t>RKEF</t>
        </is>
      </c>
      <c r="G26" s="13" t="inlineStr">
        <is>
          <t>NPI</t>
        </is>
      </c>
      <c r="H26" s="19" t="inlineStr">
        <is>
          <t>Operating</t>
        </is>
      </c>
      <c r="I26" s="23" t="n">
        <v>300000</v>
      </c>
      <c r="J26" s="23" t="n">
        <v>30000</v>
      </c>
      <c r="K26" s="23" t="n">
        <v>640</v>
      </c>
      <c r="L26" s="23" t="n">
        <v>640</v>
      </c>
      <c r="M26" s="23" t="n">
        <v>0</v>
      </c>
      <c r="N26" s="24" t="n">
        <v>1</v>
      </c>
      <c r="O26" s="24" t="n">
        <v>0</v>
      </c>
      <c r="P26" s="24" t="n">
        <v>68.40000000000001</v>
      </c>
      <c r="Q26" s="23" t="n">
        <v>2052000</v>
      </c>
      <c r="R26" s="25" t="inlineStr">
        <is>
          <t>Tinggi</t>
        </is>
      </c>
      <c r="S26" s="13" t="inlineStr">
        <is>
          <t>Raksasa</t>
        </is>
      </c>
      <c r="T26" s="23" t="n">
        <v>2770200</v>
      </c>
      <c r="U26" s="23" t="n">
        <v>1436400</v>
      </c>
      <c r="V26" s="23" t="n">
        <v>4309200</v>
      </c>
      <c r="W26" s="23" t="n">
        <v>102600</v>
      </c>
      <c r="X26" s="23" t="n">
        <v>1744200</v>
      </c>
      <c r="Y26" s="24" t="n">
        <v>-2.825</v>
      </c>
      <c r="Z26" s="24" t="n">
        <v>122.162</v>
      </c>
      <c r="AA26" s="13" t="inlineStr">
        <is>
          <t>Tidak</t>
        </is>
      </c>
    </row>
    <row r="27">
      <c r="B27" s="10" t="inlineStr">
        <is>
          <t>Zhao Hui Nickel</t>
        </is>
      </c>
      <c r="C27" s="10" t="inlineStr">
        <is>
          <t>Indonesia Morowali Industrial Park (IMIP)</t>
        </is>
      </c>
      <c r="D27" s="11" t="inlineStr">
        <is>
          <t>Sulawesi Tengah</t>
        </is>
      </c>
      <c r="E27" s="11" t="inlineStr">
        <is>
          <t>Morowali Regency</t>
        </is>
      </c>
      <c r="F27" s="11" t="inlineStr">
        <is>
          <t>RKEF</t>
        </is>
      </c>
      <c r="G27" s="11" t="inlineStr">
        <is>
          <t>NPI</t>
        </is>
      </c>
      <c r="H27" s="19" t="inlineStr">
        <is>
          <t>Operating</t>
        </is>
      </c>
      <c r="I27" s="20" t="n">
        <v>0</v>
      </c>
      <c r="J27" s="20" t="n">
        <v>23000</v>
      </c>
      <c r="K27" s="20" t="n">
        <v>0</v>
      </c>
      <c r="L27" s="20" t="n">
        <v>0</v>
      </c>
      <c r="M27" s="20" t="n">
        <v>0</v>
      </c>
      <c r="N27" s="21" t="n">
        <v>0</v>
      </c>
      <c r="O27" s="21" t="n">
        <v>0</v>
      </c>
      <c r="P27" s="21" t="n">
        <v>68.40000000000001</v>
      </c>
      <c r="Q27" s="20" t="n">
        <v>1573200</v>
      </c>
      <c r="R27" s="25" t="inlineStr">
        <is>
          <t>Tinggi</t>
        </is>
      </c>
      <c r="S27" s="11" t="inlineStr">
        <is>
          <t>Kecil</t>
        </is>
      </c>
      <c r="T27" s="20" t="n">
        <v>2123820</v>
      </c>
      <c r="U27" s="20" t="n">
        <v>1101240</v>
      </c>
      <c r="V27" s="20" t="n">
        <v>3303720</v>
      </c>
      <c r="W27" s="20" t="n">
        <v>78660</v>
      </c>
      <c r="X27" s="20" t="n">
        <v>0</v>
      </c>
      <c r="Y27" s="21" t="n">
        <v>-2.86</v>
      </c>
      <c r="Z27" s="21" t="n">
        <v>122.155</v>
      </c>
      <c r="AA27" s="11" t="inlineStr">
        <is>
          <t>Tidak</t>
        </is>
      </c>
    </row>
    <row r="28">
      <c r="B28" s="12" t="inlineStr">
        <is>
          <t>Bukit Smelter Indonesia</t>
        </is>
      </c>
      <c r="C28" s="12" t="inlineStr">
        <is>
          <t>Indonesia Morowali Industrial Park (IMIP)</t>
        </is>
      </c>
      <c r="D28" s="13" t="inlineStr">
        <is>
          <t>Sulawesi Tengah</t>
        </is>
      </c>
      <c r="E28" s="13" t="inlineStr">
        <is>
          <t>Morowali Regency</t>
        </is>
      </c>
      <c r="F28" s="13" t="inlineStr">
        <is>
          <t>RKEF</t>
        </is>
      </c>
      <c r="G28" s="13" t="inlineStr">
        <is>
          <t>NPI</t>
        </is>
      </c>
      <c r="H28" s="19" t="inlineStr">
        <is>
          <t>Operating</t>
        </is>
      </c>
      <c r="I28" s="23" t="n">
        <v>150000</v>
      </c>
      <c r="J28" s="23" t="n">
        <v>19000</v>
      </c>
      <c r="K28" s="23" t="n">
        <v>0</v>
      </c>
      <c r="L28" s="23" t="n">
        <v>0</v>
      </c>
      <c r="M28" s="23" t="n">
        <v>0</v>
      </c>
      <c r="N28" s="24" t="n">
        <v>0</v>
      </c>
      <c r="O28" s="24" t="n">
        <v>0</v>
      </c>
      <c r="P28" s="24" t="n">
        <v>68.40000000000001</v>
      </c>
      <c r="Q28" s="23" t="n">
        <v>1299600</v>
      </c>
      <c r="R28" s="25" t="inlineStr">
        <is>
          <t>Tinggi</t>
        </is>
      </c>
      <c r="S28" s="13" t="inlineStr">
        <is>
          <t>Besar</t>
        </is>
      </c>
      <c r="T28" s="23" t="n">
        <v>1754460</v>
      </c>
      <c r="U28" s="23" t="n">
        <v>909720</v>
      </c>
      <c r="V28" s="23" t="n">
        <v>2729160</v>
      </c>
      <c r="W28" s="23" t="n">
        <v>64980</v>
      </c>
      <c r="X28" s="23" t="n">
        <v>0</v>
      </c>
      <c r="Y28" s="24" t="n">
        <v>-2.85</v>
      </c>
      <c r="Z28" s="24" t="n">
        <v>122.168</v>
      </c>
      <c r="AA28" s="13" t="inlineStr">
        <is>
          <t>Tidak</t>
        </is>
      </c>
    </row>
    <row r="29">
      <c r="B29" s="10" t="inlineStr">
        <is>
          <t>Cahaya Smelter Indonesia</t>
        </is>
      </c>
      <c r="C29" s="10" t="inlineStr">
        <is>
          <t>Indonesia Morowali Industrial Park (IMIP)</t>
        </is>
      </c>
      <c r="D29" s="11" t="inlineStr">
        <is>
          <t>Sulawesi Tengah</t>
        </is>
      </c>
      <c r="E29" s="11" t="inlineStr">
        <is>
          <t>Morowali Regency</t>
        </is>
      </c>
      <c r="F29" s="11" t="inlineStr">
        <is>
          <t>RKEF</t>
        </is>
      </c>
      <c r="G29" s="11" t="inlineStr">
        <is>
          <t>NPI</t>
        </is>
      </c>
      <c r="H29" s="19" t="inlineStr">
        <is>
          <t>Operating</t>
        </is>
      </c>
      <c r="I29" s="20" t="n">
        <v>150000</v>
      </c>
      <c r="J29" s="20" t="n">
        <v>19000</v>
      </c>
      <c r="K29" s="20" t="n">
        <v>0</v>
      </c>
      <c r="L29" s="20" t="n">
        <v>0</v>
      </c>
      <c r="M29" s="20" t="n">
        <v>0</v>
      </c>
      <c r="N29" s="21" t="n">
        <v>0</v>
      </c>
      <c r="O29" s="21" t="n">
        <v>0</v>
      </c>
      <c r="P29" s="21" t="n">
        <v>68.40000000000001</v>
      </c>
      <c r="Q29" s="20" t="n">
        <v>1299600</v>
      </c>
      <c r="R29" s="25" t="inlineStr">
        <is>
          <t>Tinggi</t>
        </is>
      </c>
      <c r="S29" s="11" t="inlineStr">
        <is>
          <t>Besar</t>
        </is>
      </c>
      <c r="T29" s="20" t="n">
        <v>1754460</v>
      </c>
      <c r="U29" s="20" t="n">
        <v>909720</v>
      </c>
      <c r="V29" s="20" t="n">
        <v>2729160</v>
      </c>
      <c r="W29" s="20" t="n">
        <v>64980</v>
      </c>
      <c r="X29" s="20" t="n">
        <v>0</v>
      </c>
      <c r="Y29" s="21" t="n">
        <v>-2.856</v>
      </c>
      <c r="Z29" s="21" t="n">
        <v>122.169</v>
      </c>
      <c r="AA29" s="11" t="inlineStr">
        <is>
          <t>Tidak</t>
        </is>
      </c>
    </row>
    <row r="30">
      <c r="B30" s="12" t="inlineStr">
        <is>
          <t>Hengjaya Nickel Industry</t>
        </is>
      </c>
      <c r="C30" s="12" t="inlineStr">
        <is>
          <t>Indonesia Morowali Industrial Park (IMIP)</t>
        </is>
      </c>
      <c r="D30" s="13" t="inlineStr">
        <is>
          <t>Sulawesi Tengah</t>
        </is>
      </c>
      <c r="E30" s="13" t="inlineStr">
        <is>
          <t>Morowali Regency</t>
        </is>
      </c>
      <c r="F30" s="13" t="inlineStr">
        <is>
          <t>RKEF</t>
        </is>
      </c>
      <c r="G30" s="13" t="inlineStr">
        <is>
          <t>NPI</t>
        </is>
      </c>
      <c r="H30" s="19" t="inlineStr">
        <is>
          <t>Operating</t>
        </is>
      </c>
      <c r="I30" s="23" t="n">
        <v>150000</v>
      </c>
      <c r="J30" s="23" t="n">
        <v>15000</v>
      </c>
      <c r="K30" s="23" t="n">
        <v>0</v>
      </c>
      <c r="L30" s="23" t="n">
        <v>0</v>
      </c>
      <c r="M30" s="23" t="n">
        <v>0</v>
      </c>
      <c r="N30" s="24" t="n">
        <v>0</v>
      </c>
      <c r="O30" s="24" t="n">
        <v>0</v>
      </c>
      <c r="P30" s="24" t="n">
        <v>68.40000000000001</v>
      </c>
      <c r="Q30" s="23" t="n">
        <v>1026000</v>
      </c>
      <c r="R30" s="25" t="inlineStr">
        <is>
          <t>Tinggi</t>
        </is>
      </c>
      <c r="S30" s="13" t="inlineStr">
        <is>
          <t>Besar</t>
        </is>
      </c>
      <c r="T30" s="23" t="n">
        <v>1385100</v>
      </c>
      <c r="U30" s="23" t="n">
        <v>718200</v>
      </c>
      <c r="V30" s="23" t="n">
        <v>2154600</v>
      </c>
      <c r="W30" s="23" t="n">
        <v>51300</v>
      </c>
      <c r="X30" s="23" t="n">
        <v>0</v>
      </c>
      <c r="Y30" s="24" t="n">
        <v>-2.847</v>
      </c>
      <c r="Z30" s="24" t="n">
        <v>122.164</v>
      </c>
      <c r="AA30" s="13" t="inlineStr">
        <is>
          <t>Tidak</t>
        </is>
      </c>
    </row>
    <row r="31">
      <c r="B31" s="10" t="inlineStr">
        <is>
          <t>Ranger Nickel Industry</t>
        </is>
      </c>
      <c r="C31" s="10" t="inlineStr">
        <is>
          <t>Indonesia Morowali Industrial Park (IMIP)</t>
        </is>
      </c>
      <c r="D31" s="11" t="inlineStr">
        <is>
          <t>Sulawesi Tengah</t>
        </is>
      </c>
      <c r="E31" s="11" t="inlineStr">
        <is>
          <t>Morowali Regency</t>
        </is>
      </c>
      <c r="F31" s="11" t="inlineStr">
        <is>
          <t>RKEF</t>
        </is>
      </c>
      <c r="G31" s="11" t="inlineStr">
        <is>
          <t>NPI</t>
        </is>
      </c>
      <c r="H31" s="19" t="inlineStr">
        <is>
          <t>Operating</t>
        </is>
      </c>
      <c r="I31" s="20" t="n">
        <v>150000</v>
      </c>
      <c r="J31" s="20" t="n">
        <v>15000</v>
      </c>
      <c r="K31" s="20" t="n">
        <v>0</v>
      </c>
      <c r="L31" s="20" t="n">
        <v>0</v>
      </c>
      <c r="M31" s="20" t="n">
        <v>0</v>
      </c>
      <c r="N31" s="21" t="n">
        <v>0</v>
      </c>
      <c r="O31" s="21" t="n">
        <v>0</v>
      </c>
      <c r="P31" s="21" t="n">
        <v>68.40000000000001</v>
      </c>
      <c r="Q31" s="20" t="n">
        <v>1026000</v>
      </c>
      <c r="R31" s="25" t="inlineStr">
        <is>
          <t>Tinggi</t>
        </is>
      </c>
      <c r="S31" s="11" t="inlineStr">
        <is>
          <t>Besar</t>
        </is>
      </c>
      <c r="T31" s="20" t="n">
        <v>1385100</v>
      </c>
      <c r="U31" s="20" t="n">
        <v>718200</v>
      </c>
      <c r="V31" s="20" t="n">
        <v>2154600</v>
      </c>
      <c r="W31" s="20" t="n">
        <v>51300</v>
      </c>
      <c r="X31" s="20" t="n">
        <v>0</v>
      </c>
      <c r="Y31" s="21" t="n">
        <v>-2.851</v>
      </c>
      <c r="Z31" s="21" t="n">
        <v>122.164</v>
      </c>
      <c r="AA31" s="11" t="inlineStr">
        <is>
          <t>Tidak</t>
        </is>
      </c>
    </row>
    <row r="32">
      <c r="B32" s="12" t="inlineStr">
        <is>
          <t>Huayue Nickel Cobalt</t>
        </is>
      </c>
      <c r="C32" s="12" t="inlineStr">
        <is>
          <t>Indonesia Morowali Industrial Park (IMIP)</t>
        </is>
      </c>
      <c r="D32" s="13" t="inlineStr">
        <is>
          <t>Sulawesi Tengah</t>
        </is>
      </c>
      <c r="E32" s="13" t="inlineStr">
        <is>
          <t>Morowali Regency</t>
        </is>
      </c>
      <c r="F32" s="13" t="inlineStr">
        <is>
          <t>HPAL</t>
        </is>
      </c>
      <c r="G32" s="13" t="inlineStr">
        <is>
          <t>MHP</t>
        </is>
      </c>
      <c r="H32" s="19" t="inlineStr">
        <is>
          <t>Operating</t>
        </is>
      </c>
      <c r="I32" s="23" t="n">
        <v>160500</v>
      </c>
      <c r="J32" s="23" t="n">
        <v>60000</v>
      </c>
      <c r="K32" s="23" t="n">
        <v>250</v>
      </c>
      <c r="L32" s="23" t="n">
        <v>250</v>
      </c>
      <c r="M32" s="23" t="n">
        <v>0</v>
      </c>
      <c r="N32" s="24" t="n">
        <v>1</v>
      </c>
      <c r="O32" s="24" t="n">
        <v>0</v>
      </c>
      <c r="P32" s="24" t="n">
        <v>10.5</v>
      </c>
      <c r="Q32" s="23" t="n">
        <v>630000</v>
      </c>
      <c r="R32" s="19" t="inlineStr">
        <is>
          <t>Rendah</t>
        </is>
      </c>
      <c r="S32" s="13" t="inlineStr">
        <is>
          <t>Besar</t>
        </is>
      </c>
      <c r="T32" s="23" t="n">
        <v>850500</v>
      </c>
      <c r="U32" s="23" t="n">
        <v>441000</v>
      </c>
      <c r="V32" s="23" t="n">
        <v>1323000</v>
      </c>
      <c r="W32" s="23" t="n">
        <v>31500</v>
      </c>
      <c r="X32" s="23" t="n">
        <v>535500</v>
      </c>
      <c r="Y32" s="24" t="n">
        <v>-2.851</v>
      </c>
      <c r="Z32" s="24" t="n">
        <v>122.18</v>
      </c>
      <c r="AA32" s="13" t="inlineStr">
        <is>
          <t>Tidak</t>
        </is>
      </c>
    </row>
    <row r="33">
      <c r="B33" s="10" t="inlineStr">
        <is>
          <t>QMB New Energy Materials Indonesia</t>
        </is>
      </c>
      <c r="C33" s="10" t="inlineStr">
        <is>
          <t>Indonesia Morowali Industrial Park (IMIP)</t>
        </is>
      </c>
      <c r="D33" s="11" t="inlineStr">
        <is>
          <t>Sulawesi Tengah</t>
        </is>
      </c>
      <c r="E33" s="11" t="inlineStr">
        <is>
          <t>Morowali Regency</t>
        </is>
      </c>
      <c r="F33" s="11" t="inlineStr">
        <is>
          <t>HPAL</t>
        </is>
      </c>
      <c r="G33" s="11" t="inlineStr">
        <is>
          <t>Ni Sulfate</t>
        </is>
      </c>
      <c r="H33" s="19" t="inlineStr">
        <is>
          <t>Operating</t>
        </is>
      </c>
      <c r="I33" s="20" t="n">
        <v>136364</v>
      </c>
      <c r="J33" s="20" t="n">
        <v>50000</v>
      </c>
      <c r="K33" s="20" t="n">
        <v>0</v>
      </c>
      <c r="L33" s="20" t="n">
        <v>0</v>
      </c>
      <c r="M33" s="20" t="n">
        <v>0</v>
      </c>
      <c r="N33" s="21" t="n">
        <v>0</v>
      </c>
      <c r="O33" s="21" t="n">
        <v>0</v>
      </c>
      <c r="P33" s="21" t="n">
        <v>8</v>
      </c>
      <c r="Q33" s="20" t="n">
        <v>400000</v>
      </c>
      <c r="R33" s="26" t="inlineStr">
        <is>
          <t>Sangat Rendah</t>
        </is>
      </c>
      <c r="S33" s="11" t="inlineStr">
        <is>
          <t>Menengah</t>
        </is>
      </c>
      <c r="T33" s="20" t="n">
        <v>540000</v>
      </c>
      <c r="U33" s="20" t="n">
        <v>280000</v>
      </c>
      <c r="V33" s="20" t="n">
        <v>840000</v>
      </c>
      <c r="W33" s="20" t="n">
        <v>20000</v>
      </c>
      <c r="X33" s="20" t="n">
        <v>0</v>
      </c>
      <c r="Y33" s="21" t="n">
        <v>-2.86</v>
      </c>
      <c r="Z33" s="21" t="n">
        <v>122.171</v>
      </c>
      <c r="AA33" s="11" t="inlineStr">
        <is>
          <t>Tidak</t>
        </is>
      </c>
    </row>
    <row r="34">
      <c r="B34" s="12" t="inlineStr">
        <is>
          <t>PT ESG New Energy Material</t>
        </is>
      </c>
      <c r="C34" s="12" t="inlineStr">
        <is>
          <t>Indonesia Morowali Industrial Park (IMIP)</t>
        </is>
      </c>
      <c r="D34" s="13" t="inlineStr">
        <is>
          <t>Sulawesi Tengah</t>
        </is>
      </c>
      <c r="E34" s="13" t="inlineStr">
        <is>
          <t>Morowali Regency</t>
        </is>
      </c>
      <c r="F34" s="13" t="inlineStr">
        <is>
          <t>HPAL</t>
        </is>
      </c>
      <c r="G34" s="13" t="inlineStr">
        <is>
          <t>MHP</t>
        </is>
      </c>
      <c r="H34" s="19" t="inlineStr">
        <is>
          <t>Operating</t>
        </is>
      </c>
      <c r="I34" s="23" t="n">
        <v>0</v>
      </c>
      <c r="J34" s="23" t="n">
        <v>30000</v>
      </c>
      <c r="K34" s="23" t="n">
        <v>0</v>
      </c>
      <c r="L34" s="23" t="n">
        <v>0</v>
      </c>
      <c r="M34" s="23" t="n">
        <v>0</v>
      </c>
      <c r="N34" s="24" t="n">
        <v>0</v>
      </c>
      <c r="O34" s="24" t="n">
        <v>0</v>
      </c>
      <c r="P34" s="24" t="n">
        <v>10.5</v>
      </c>
      <c r="Q34" s="23" t="n">
        <v>315000</v>
      </c>
      <c r="R34" s="19" t="inlineStr">
        <is>
          <t>Rendah</t>
        </is>
      </c>
      <c r="S34" s="13" t="inlineStr">
        <is>
          <t>Kecil</t>
        </is>
      </c>
      <c r="T34" s="23" t="n">
        <v>425250</v>
      </c>
      <c r="U34" s="23" t="n">
        <v>220500</v>
      </c>
      <c r="V34" s="23" t="n">
        <v>661500</v>
      </c>
      <c r="W34" s="23" t="n">
        <v>15750</v>
      </c>
      <c r="X34" s="23" t="n">
        <v>0</v>
      </c>
      <c r="Y34" s="24" t="n">
        <v>-2.857</v>
      </c>
      <c r="Z34" s="24" t="n">
        <v>122.172</v>
      </c>
      <c r="AA34" s="13" t="inlineStr">
        <is>
          <t>Tidak</t>
        </is>
      </c>
    </row>
    <row r="35">
      <c r="B35" s="10" t="inlineStr">
        <is>
          <t>Gunbuster Nickel Industry</t>
        </is>
      </c>
      <c r="C35" s="10" t="inlineStr">
        <is>
          <t>Kawasan Industri PT Stardust Estate Investment</t>
        </is>
      </c>
      <c r="D35" s="11" t="inlineStr">
        <is>
          <t>Sulawesi Tengah</t>
        </is>
      </c>
      <c r="E35" s="11" t="inlineStr">
        <is>
          <t>North Morowali Regency</t>
        </is>
      </c>
      <c r="F35" s="11" t="inlineStr">
        <is>
          <t>RKEF</t>
        </is>
      </c>
      <c r="G35" s="11" t="inlineStr">
        <is>
          <t>NPI</t>
        </is>
      </c>
      <c r="H35" s="19" t="inlineStr">
        <is>
          <t>Operating</t>
        </is>
      </c>
      <c r="I35" s="20" t="n">
        <v>2000000</v>
      </c>
      <c r="J35" s="20" t="n">
        <v>0</v>
      </c>
      <c r="K35" s="20" t="n">
        <v>2295</v>
      </c>
      <c r="L35" s="20" t="n">
        <v>2295</v>
      </c>
      <c r="M35" s="20" t="n">
        <v>0</v>
      </c>
      <c r="N35" s="21" t="n">
        <v>1</v>
      </c>
      <c r="O35" s="21" t="n">
        <v>0</v>
      </c>
      <c r="P35" s="21" t="n">
        <v>68.40000000000001</v>
      </c>
      <c r="Q35" s="20" t="n">
        <v>0</v>
      </c>
      <c r="R35" s="25" t="inlineStr">
        <is>
          <t>Tinggi</t>
        </is>
      </c>
      <c r="S35" s="11" t="inlineStr">
        <is>
          <t>Raksasa</t>
        </is>
      </c>
      <c r="T35" s="20" t="n">
        <v>0</v>
      </c>
      <c r="U35" s="20" t="n">
        <v>0</v>
      </c>
      <c r="V35" s="20" t="n">
        <v>0</v>
      </c>
      <c r="W35" s="20" t="n">
        <v>0</v>
      </c>
      <c r="X35" s="20" t="n">
        <v>0</v>
      </c>
      <c r="Y35" s="21" t="n">
        <v>-2</v>
      </c>
      <c r="Z35" s="21" t="n">
        <v>121.435</v>
      </c>
      <c r="AA35" s="11" t="inlineStr">
        <is>
          <t>Ya</t>
        </is>
      </c>
    </row>
    <row r="36">
      <c r="B36" s="12" t="inlineStr">
        <is>
          <t>Indonesia Guang Ching Nickel and SSI</t>
        </is>
      </c>
      <c r="C36" s="12" t="inlineStr">
        <is>
          <t>Indonesia Morowali Industrial Park (IMIP)</t>
        </is>
      </c>
      <c r="D36" s="13" t="inlineStr">
        <is>
          <t>Sulawesi Tengah</t>
        </is>
      </c>
      <c r="E36" s="13" t="inlineStr">
        <is>
          <t>Morowali Regency</t>
        </is>
      </c>
      <c r="F36" s="13" t="inlineStr">
        <is>
          <t>RKEF</t>
        </is>
      </c>
      <c r="G36" s="13" t="inlineStr">
        <is>
          <t>NPI</t>
        </is>
      </c>
      <c r="H36" s="19" t="inlineStr">
        <is>
          <t>Operating</t>
        </is>
      </c>
      <c r="I36" s="23" t="n">
        <v>600000</v>
      </c>
      <c r="J36" s="23" t="n">
        <v>0</v>
      </c>
      <c r="K36" s="23" t="n">
        <v>300</v>
      </c>
      <c r="L36" s="23" t="n">
        <v>300</v>
      </c>
      <c r="M36" s="23" t="n">
        <v>0</v>
      </c>
      <c r="N36" s="24" t="n">
        <v>1</v>
      </c>
      <c r="O36" s="24" t="n">
        <v>0</v>
      </c>
      <c r="P36" s="24" t="n">
        <v>68.40000000000001</v>
      </c>
      <c r="Q36" s="23" t="n">
        <v>0</v>
      </c>
      <c r="R36" s="25" t="inlineStr">
        <is>
          <t>Tinggi</t>
        </is>
      </c>
      <c r="S36" s="13" t="inlineStr">
        <is>
          <t>Raksasa</t>
        </is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4" t="n">
        <v>-2.828</v>
      </c>
      <c r="Z36" s="24" t="n">
        <v>122.162</v>
      </c>
      <c r="AA36" s="13" t="inlineStr">
        <is>
          <t>Tidak</t>
        </is>
      </c>
    </row>
    <row r="37">
      <c r="B37" s="10" t="inlineStr">
        <is>
          <t>Indonesia Ruipu Nickel and Chrome Alloy</t>
        </is>
      </c>
      <c r="C37" s="10" t="inlineStr">
        <is>
          <t>Indonesia Morowali Industrial Park (IMIP)</t>
        </is>
      </c>
      <c r="D37" s="11" t="inlineStr">
        <is>
          <t>Sulawesi Tengah</t>
        </is>
      </c>
      <c r="E37" s="11" t="inlineStr">
        <is>
          <t>Morowali Regency</t>
        </is>
      </c>
      <c r="F37" s="11" t="inlineStr">
        <is>
          <t>RKEF</t>
        </is>
      </c>
      <c r="G37" s="11" t="inlineStr">
        <is>
          <t>NPI</t>
        </is>
      </c>
      <c r="H37" s="19" t="inlineStr">
        <is>
          <t>Operating</t>
        </is>
      </c>
      <c r="I37" s="20" t="n">
        <v>300000</v>
      </c>
      <c r="J37" s="20" t="n">
        <v>0</v>
      </c>
      <c r="K37" s="20" t="n">
        <v>0</v>
      </c>
      <c r="L37" s="20" t="n">
        <v>0</v>
      </c>
      <c r="M37" s="20" t="n">
        <v>0</v>
      </c>
      <c r="N37" s="21" t="n">
        <v>0</v>
      </c>
      <c r="O37" s="21" t="n">
        <v>0</v>
      </c>
      <c r="P37" s="21" t="n">
        <v>68.40000000000001</v>
      </c>
      <c r="Q37" s="20" t="n">
        <v>0</v>
      </c>
      <c r="R37" s="25" t="inlineStr">
        <is>
          <t>Tinggi</t>
        </is>
      </c>
      <c r="S37" s="11" t="inlineStr">
        <is>
          <t>Raksasa</t>
        </is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1" t="n">
        <v>-2.828</v>
      </c>
      <c r="Z37" s="21" t="n">
        <v>122.166</v>
      </c>
      <c r="AA37" s="11" t="inlineStr">
        <is>
          <t>Tidak</t>
        </is>
      </c>
    </row>
    <row r="38">
      <c r="B38" s="12" t="inlineStr">
        <is>
          <t>Indonesia Tsingshan Stainless Steel</t>
        </is>
      </c>
      <c r="C38" s="12" t="inlineStr">
        <is>
          <t>Indonesia Morowali Industrial Park (IMIP)</t>
        </is>
      </c>
      <c r="D38" s="13" t="inlineStr">
        <is>
          <t>Sulawesi Tengah</t>
        </is>
      </c>
      <c r="E38" s="13" t="inlineStr">
        <is>
          <t>Morowali Regency</t>
        </is>
      </c>
      <c r="F38" s="13" t="inlineStr">
        <is>
          <t>RKEF</t>
        </is>
      </c>
      <c r="G38" s="13" t="inlineStr">
        <is>
          <t>NPI</t>
        </is>
      </c>
      <c r="H38" s="19" t="inlineStr">
        <is>
          <t>Operating</t>
        </is>
      </c>
      <c r="I38" s="23" t="n">
        <v>675000</v>
      </c>
      <c r="J38" s="23" t="n">
        <v>0</v>
      </c>
      <c r="K38" s="23" t="n">
        <v>1400</v>
      </c>
      <c r="L38" s="23" t="n">
        <v>1400</v>
      </c>
      <c r="M38" s="23" t="n">
        <v>0</v>
      </c>
      <c r="N38" s="24" t="n">
        <v>1</v>
      </c>
      <c r="O38" s="24" t="n">
        <v>0</v>
      </c>
      <c r="P38" s="24" t="n">
        <v>68.40000000000001</v>
      </c>
      <c r="Q38" s="23" t="n">
        <v>0</v>
      </c>
      <c r="R38" s="25" t="inlineStr">
        <is>
          <t>Tinggi</t>
        </is>
      </c>
      <c r="S38" s="13" t="inlineStr">
        <is>
          <t>Raksasa</t>
        </is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4" t="n">
        <v>-2.832</v>
      </c>
      <c r="Z38" s="24" t="n">
        <v>122.161</v>
      </c>
      <c r="AA38" s="13" t="inlineStr">
        <is>
          <t>Tidak</t>
        </is>
      </c>
    </row>
    <row r="39">
      <c r="B39" s="10" t="inlineStr">
        <is>
          <t>Lestari Smelter Indonesia</t>
        </is>
      </c>
      <c r="C39" s="10" t="inlineStr">
        <is>
          <t>Indonesia Morowali Industrial Park (IMIP)</t>
        </is>
      </c>
      <c r="D39" s="11" t="inlineStr">
        <is>
          <t>Sulawesi Tengah</t>
        </is>
      </c>
      <c r="E39" s="11" t="inlineStr">
        <is>
          <t>Morowali Regency</t>
        </is>
      </c>
      <c r="F39" s="11" t="inlineStr">
        <is>
          <t>RKEF</t>
        </is>
      </c>
      <c r="G39" s="11" t="inlineStr">
        <is>
          <t>NPI</t>
        </is>
      </c>
      <c r="H39" s="19" t="inlineStr">
        <is>
          <t>Operating</t>
        </is>
      </c>
      <c r="I39" s="20" t="n">
        <v>300000</v>
      </c>
      <c r="J39" s="20" t="n">
        <v>0</v>
      </c>
      <c r="K39" s="20" t="n">
        <v>350</v>
      </c>
      <c r="L39" s="20" t="n">
        <v>350</v>
      </c>
      <c r="M39" s="20" t="n">
        <v>0</v>
      </c>
      <c r="N39" s="21" t="n">
        <v>1</v>
      </c>
      <c r="O39" s="21" t="n">
        <v>0</v>
      </c>
      <c r="P39" s="21" t="n">
        <v>68.40000000000001</v>
      </c>
      <c r="Q39" s="20" t="n">
        <v>0</v>
      </c>
      <c r="R39" s="25" t="inlineStr">
        <is>
          <t>Tinggi</t>
        </is>
      </c>
      <c r="S39" s="11" t="inlineStr">
        <is>
          <t>Raksasa</t>
        </is>
      </c>
      <c r="T39" s="20" t="n">
        <v>0</v>
      </c>
      <c r="U39" s="20" t="n">
        <v>0</v>
      </c>
      <c r="V39" s="20" t="n">
        <v>0</v>
      </c>
      <c r="W39" s="20" t="n">
        <v>0</v>
      </c>
      <c r="X39" s="20" t="n">
        <v>0</v>
      </c>
      <c r="Y39" s="21" t="n">
        <v>-2.851</v>
      </c>
      <c r="Z39" s="21" t="n">
        <v>122.169</v>
      </c>
      <c r="AA39" s="11" t="inlineStr">
        <is>
          <t>Tidak</t>
        </is>
      </c>
    </row>
    <row r="40">
      <c r="B40" s="12" t="inlineStr">
        <is>
          <t>Tsingshan Steel Indonesia</t>
        </is>
      </c>
      <c r="C40" s="12" t="inlineStr">
        <is>
          <t>Indonesia Morowali Industrial Park (IMIP)</t>
        </is>
      </c>
      <c r="D40" s="13" t="inlineStr">
        <is>
          <t>Sulawesi Tengah</t>
        </is>
      </c>
      <c r="E40" s="13" t="inlineStr">
        <is>
          <t>Morowali Regency</t>
        </is>
      </c>
      <c r="F40" s="13" t="inlineStr">
        <is>
          <t>BF</t>
        </is>
      </c>
      <c r="G40" s="13" t="inlineStr">
        <is>
          <t>NPI</t>
        </is>
      </c>
      <c r="H40" s="19" t="inlineStr">
        <is>
          <t>Operating</t>
        </is>
      </c>
      <c r="I40" s="23" t="n">
        <v>500000</v>
      </c>
      <c r="J40" s="23" t="n">
        <v>0</v>
      </c>
      <c r="K40" s="23" t="n">
        <v>130</v>
      </c>
      <c r="L40" s="23" t="n">
        <v>130</v>
      </c>
      <c r="M40" s="23" t="n">
        <v>0</v>
      </c>
      <c r="N40" s="24" t="n">
        <v>1</v>
      </c>
      <c r="O40" s="24" t="n">
        <v>0</v>
      </c>
      <c r="P40" s="24" t="n">
        <v>68.40000000000001</v>
      </c>
      <c r="Q40" s="23" t="n">
        <v>0</v>
      </c>
      <c r="R40" s="25" t="inlineStr">
        <is>
          <t>Tinggi</t>
        </is>
      </c>
      <c r="S40" s="13" t="inlineStr">
        <is>
          <t>Raksasa</t>
        </is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4" t="n">
        <v>-2.832</v>
      </c>
      <c r="Z40" s="24" t="n">
        <v>122.169</v>
      </c>
      <c r="AA40" s="13" t="inlineStr">
        <is>
          <t>Tidak</t>
        </is>
      </c>
    </row>
    <row r="41">
      <c r="B41" s="10" t="inlineStr">
        <is>
          <t>Walsin Nickel Industrial Indonesia</t>
        </is>
      </c>
      <c r="C41" s="10" t="inlineStr">
        <is>
          <t>Indonesia Morowali Industrial Park (IMIP)</t>
        </is>
      </c>
      <c r="D41" s="11" t="inlineStr">
        <is>
          <t>Sulawesi Tengah</t>
        </is>
      </c>
      <c r="E41" s="11" t="inlineStr">
        <is>
          <t>Morowali Regency</t>
        </is>
      </c>
      <c r="F41" s="11" t="inlineStr">
        <is>
          <t>RKEF</t>
        </is>
      </c>
      <c r="G41" s="11" t="inlineStr">
        <is>
          <t>NPI</t>
        </is>
      </c>
      <c r="H41" s="19" t="inlineStr">
        <is>
          <t>Operating</t>
        </is>
      </c>
      <c r="I41" s="20" t="n">
        <v>300000</v>
      </c>
      <c r="J41" s="20" t="n">
        <v>0</v>
      </c>
      <c r="K41" s="20" t="n">
        <v>350</v>
      </c>
      <c r="L41" s="20" t="n">
        <v>350</v>
      </c>
      <c r="M41" s="20" t="n">
        <v>0</v>
      </c>
      <c r="N41" s="21" t="n">
        <v>1</v>
      </c>
      <c r="O41" s="21" t="n">
        <v>0</v>
      </c>
      <c r="P41" s="21" t="n">
        <v>68.40000000000001</v>
      </c>
      <c r="Q41" s="20" t="n">
        <v>0</v>
      </c>
      <c r="R41" s="25" t="inlineStr">
        <is>
          <t>Tinggi</t>
        </is>
      </c>
      <c r="S41" s="11" t="inlineStr">
        <is>
          <t>Raksasa</t>
        </is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1" t="n">
        <v>-2.858</v>
      </c>
      <c r="Z41" s="21" t="n">
        <v>122.16</v>
      </c>
      <c r="AA41" s="11" t="inlineStr">
        <is>
          <t>Tidak</t>
        </is>
      </c>
    </row>
    <row r="42">
      <c r="B42" s="12" t="inlineStr">
        <is>
          <t>Wanxiang Nickel Indonesia</t>
        </is>
      </c>
      <c r="C42" s="12" t="inlineStr"/>
      <c r="D42" s="13" t="inlineStr">
        <is>
          <t>Sulawesi Tengah</t>
        </is>
      </c>
      <c r="E42" s="13" t="inlineStr">
        <is>
          <t>Morowali Regency</t>
        </is>
      </c>
      <c r="F42" s="13" t="inlineStr">
        <is>
          <t>RKEF</t>
        </is>
      </c>
      <c r="G42" s="13" t="inlineStr">
        <is>
          <t>NPI</t>
        </is>
      </c>
      <c r="H42" s="19" t="inlineStr">
        <is>
          <t>Operating</t>
        </is>
      </c>
      <c r="I42" s="23" t="n">
        <v>351018</v>
      </c>
      <c r="J42" s="23" t="n">
        <v>0</v>
      </c>
      <c r="K42" s="23" t="n">
        <v>150</v>
      </c>
      <c r="L42" s="23" t="n">
        <v>150</v>
      </c>
      <c r="M42" s="23" t="n">
        <v>0</v>
      </c>
      <c r="N42" s="24" t="n">
        <v>1</v>
      </c>
      <c r="O42" s="24" t="n">
        <v>0</v>
      </c>
      <c r="P42" s="24" t="n">
        <v>68.40000000000001</v>
      </c>
      <c r="Q42" s="23" t="n">
        <v>0</v>
      </c>
      <c r="R42" s="25" t="inlineStr">
        <is>
          <t>Tinggi</t>
        </is>
      </c>
      <c r="S42" s="13" t="inlineStr">
        <is>
          <t>Raksasa</t>
        </is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0</v>
      </c>
      <c r="Y42" s="24" t="n">
        <v>-2.739</v>
      </c>
      <c r="Z42" s="24" t="n">
        <v>122.029</v>
      </c>
      <c r="AA42" s="13" t="inlineStr">
        <is>
          <t>Tidak</t>
        </is>
      </c>
    </row>
    <row r="43">
      <c r="B43" s="10" t="inlineStr">
        <is>
          <t>Ocean Sky Metal Industry</t>
        </is>
      </c>
      <c r="C43" s="10" t="inlineStr">
        <is>
          <t>Indonesia Morowali Industrial Park (IMIP)</t>
        </is>
      </c>
      <c r="D43" s="11" t="inlineStr">
        <is>
          <t>Sulawesi Tengah</t>
        </is>
      </c>
      <c r="E43" s="11" t="inlineStr">
        <is>
          <t>Morowali Regency</t>
        </is>
      </c>
      <c r="F43" s="11" t="inlineStr">
        <is>
          <t>Unknown</t>
        </is>
      </c>
      <c r="G43" s="11" t="inlineStr">
        <is>
          <t>NPI</t>
        </is>
      </c>
      <c r="H43" s="19" t="inlineStr">
        <is>
          <t>Operating</t>
        </is>
      </c>
      <c r="I43" s="20" t="n">
        <v>380000</v>
      </c>
      <c r="J43" s="20" t="n">
        <v>0</v>
      </c>
      <c r="K43" s="20" t="n">
        <v>0</v>
      </c>
      <c r="L43" s="20" t="n">
        <v>0</v>
      </c>
      <c r="M43" s="20" t="n">
        <v>0</v>
      </c>
      <c r="N43" s="21" t="n">
        <v>0</v>
      </c>
      <c r="O43" s="21" t="n">
        <v>0</v>
      </c>
      <c r="P43" s="21" t="n">
        <v>68.40000000000001</v>
      </c>
      <c r="Q43" s="20" t="n">
        <v>0</v>
      </c>
      <c r="R43" s="25" t="inlineStr">
        <is>
          <t>Tinggi</t>
        </is>
      </c>
      <c r="S43" s="11" t="inlineStr">
        <is>
          <t>Raksasa</t>
        </is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1" t="n">
        <v>-2.862</v>
      </c>
      <c r="Z43" s="21" t="n">
        <v>122.159</v>
      </c>
      <c r="AA43" s="11" t="inlineStr">
        <is>
          <t>Tidak</t>
        </is>
      </c>
    </row>
    <row r="44">
      <c r="B44" s="12" t="inlineStr">
        <is>
          <t>PT Metal Smelt Indo Selaras</t>
        </is>
      </c>
      <c r="C44" s="12" t="inlineStr">
        <is>
          <t>Qingdao Indonesia Comprehensive Industrial Park</t>
        </is>
      </c>
      <c r="D44" s="13" t="inlineStr">
        <is>
          <t>Sulawesi Tengah</t>
        </is>
      </c>
      <c r="E44" s="13" t="inlineStr">
        <is>
          <t>Morowali Regency</t>
        </is>
      </c>
      <c r="F44" s="13" t="inlineStr">
        <is>
          <t>RKEF</t>
        </is>
      </c>
      <c r="G44" s="13" t="inlineStr"/>
      <c r="H44" s="19" t="inlineStr">
        <is>
          <t>Operating</t>
        </is>
      </c>
      <c r="I44" s="23" t="n">
        <v>0</v>
      </c>
      <c r="J44" s="23" t="n">
        <v>0</v>
      </c>
      <c r="K44" s="23" t="n">
        <v>130</v>
      </c>
      <c r="L44" s="23" t="n">
        <v>130</v>
      </c>
      <c r="M44" s="23" t="n">
        <v>0</v>
      </c>
      <c r="N44" s="24" t="n">
        <v>1</v>
      </c>
      <c r="O44" s="24" t="n">
        <v>0</v>
      </c>
      <c r="P44" s="24" t="n">
        <v>68.40000000000001</v>
      </c>
      <c r="Q44" s="23" t="n">
        <v>0</v>
      </c>
      <c r="R44" s="25" t="inlineStr">
        <is>
          <t>Tinggi</t>
        </is>
      </c>
      <c r="S44" s="13" t="inlineStr">
        <is>
          <t>Kecil</t>
        </is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4" t="n">
        <v>-3.043</v>
      </c>
      <c r="Z44" s="24" t="n">
        <v>122.265</v>
      </c>
      <c r="AA44" s="13" t="inlineStr">
        <is>
          <t>Tidak</t>
        </is>
      </c>
    </row>
    <row r="45">
      <c r="B45" s="10" t="inlineStr">
        <is>
          <t>PT Huaneng Metal Industry</t>
        </is>
      </c>
      <c r="C45" s="10" t="inlineStr">
        <is>
          <t>Indonesia Morowali Industrial Park (IMIP)</t>
        </is>
      </c>
      <c r="D45" s="11" t="inlineStr">
        <is>
          <t>Sulawesi Tengah</t>
        </is>
      </c>
      <c r="E45" s="11" t="inlineStr">
        <is>
          <t>Morowali Regency</t>
        </is>
      </c>
      <c r="F45" s="11" t="inlineStr">
        <is>
          <t>RKEF</t>
        </is>
      </c>
      <c r="G45" s="11" t="inlineStr">
        <is>
          <t>Ni Matte</t>
        </is>
      </c>
      <c r="H45" s="19" t="inlineStr">
        <is>
          <t>Operating</t>
        </is>
      </c>
      <c r="I45" s="20" t="n">
        <v>50000</v>
      </c>
      <c r="J45" s="20" t="n">
        <v>0</v>
      </c>
      <c r="K45" s="20" t="n">
        <v>0</v>
      </c>
      <c r="L45" s="20" t="n">
        <v>0</v>
      </c>
      <c r="M45" s="20" t="n">
        <v>0</v>
      </c>
      <c r="N45" s="21" t="n">
        <v>0</v>
      </c>
      <c r="O45" s="21" t="n">
        <v>0</v>
      </c>
      <c r="P45" s="21" t="n">
        <v>35</v>
      </c>
      <c r="Q45" s="20" t="n">
        <v>0</v>
      </c>
      <c r="R45" s="19" t="inlineStr">
        <is>
          <t>Rendah</t>
        </is>
      </c>
      <c r="S45" s="11" t="inlineStr">
        <is>
          <t>Menengah</t>
        </is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1" t="n">
        <v>-2.836</v>
      </c>
      <c r="Z45" s="21" t="n">
        <v>122.163</v>
      </c>
      <c r="AA45" s="11" t="inlineStr">
        <is>
          <t>Tidak</t>
        </is>
      </c>
    </row>
    <row r="46">
      <c r="B46" s="12" t="inlineStr">
        <is>
          <t>Zhongtsing New Energy</t>
        </is>
      </c>
      <c r="C46" s="12" t="inlineStr">
        <is>
          <t>Indonesia Morowali Industrial Park (IMIP)</t>
        </is>
      </c>
      <c r="D46" s="13" t="inlineStr">
        <is>
          <t>Sulawesi Tengah</t>
        </is>
      </c>
      <c r="E46" s="13" t="inlineStr">
        <is>
          <t>Morowali Regency</t>
        </is>
      </c>
      <c r="F46" s="13" t="inlineStr">
        <is>
          <t>Unknown</t>
        </is>
      </c>
      <c r="G46" s="13" t="inlineStr">
        <is>
          <t>Ni Matte</t>
        </is>
      </c>
      <c r="H46" s="19" t="inlineStr">
        <is>
          <t>Operating</t>
        </is>
      </c>
      <c r="I46" s="23" t="n">
        <v>100000</v>
      </c>
      <c r="J46" s="23" t="n">
        <v>0</v>
      </c>
      <c r="K46" s="23" t="n">
        <v>0</v>
      </c>
      <c r="L46" s="23" t="n">
        <v>0</v>
      </c>
      <c r="M46" s="23" t="n">
        <v>0</v>
      </c>
      <c r="N46" s="24" t="n">
        <v>0</v>
      </c>
      <c r="O46" s="24" t="n">
        <v>0</v>
      </c>
      <c r="P46" s="24" t="n">
        <v>35</v>
      </c>
      <c r="Q46" s="23" t="n">
        <v>0</v>
      </c>
      <c r="R46" s="19" t="inlineStr">
        <is>
          <t>Rendah</t>
        </is>
      </c>
      <c r="S46" s="13" t="inlineStr">
        <is>
          <t>Menengah</t>
        </is>
      </c>
      <c r="T46" s="23" t="n">
        <v>0</v>
      </c>
      <c r="U46" s="23" t="n">
        <v>0</v>
      </c>
      <c r="V46" s="23" t="n">
        <v>0</v>
      </c>
      <c r="W46" s="23" t="n">
        <v>0</v>
      </c>
      <c r="X46" s="23" t="n">
        <v>0</v>
      </c>
      <c r="Y46" s="24" t="n">
        <v>-2.823</v>
      </c>
      <c r="Z46" s="24" t="n">
        <v>122.146</v>
      </c>
      <c r="AA46" s="13" t="inlineStr">
        <is>
          <t>Tidak</t>
        </is>
      </c>
    </row>
    <row r="47">
      <c r="B47" s="10" t="inlineStr">
        <is>
          <t>Ceria Nugraha Indotama (RKEF) / Merah Putih smelter</t>
        </is>
      </c>
      <c r="C47" s="10" t="inlineStr"/>
      <c r="D47" s="11" t="inlineStr">
        <is>
          <t>Sulawesi Tenggara</t>
        </is>
      </c>
      <c r="E47" s="11" t="inlineStr">
        <is>
          <t>Kolaka Regency</t>
        </is>
      </c>
      <c r="F47" s="11" t="inlineStr">
        <is>
          <t>RKEF</t>
        </is>
      </c>
      <c r="G47" s="11" t="inlineStr">
        <is>
          <t>FeNi</t>
        </is>
      </c>
      <c r="H47" s="19" t="inlineStr">
        <is>
          <t>Operating</t>
        </is>
      </c>
      <c r="I47" s="20" t="n">
        <v>252728</v>
      </c>
      <c r="J47" s="20" t="n">
        <v>55600</v>
      </c>
      <c r="K47" s="20" t="n">
        <v>350</v>
      </c>
      <c r="L47" s="20" t="n">
        <v>0</v>
      </c>
      <c r="M47" s="20" t="n">
        <v>0</v>
      </c>
      <c r="N47" s="21" t="n">
        <v>0</v>
      </c>
      <c r="O47" s="21" t="n">
        <v>0</v>
      </c>
      <c r="P47" s="21" t="n">
        <v>45</v>
      </c>
      <c r="Q47" s="20" t="n">
        <v>2502000</v>
      </c>
      <c r="R47" s="22" t="inlineStr">
        <is>
          <t>Sedang</t>
        </is>
      </c>
      <c r="S47" s="11" t="inlineStr">
        <is>
          <t>Besar</t>
        </is>
      </c>
      <c r="T47" s="20" t="n">
        <v>3377700</v>
      </c>
      <c r="U47" s="20" t="n">
        <v>1751400</v>
      </c>
      <c r="V47" s="20" t="n">
        <v>5254200</v>
      </c>
      <c r="W47" s="20" t="n">
        <v>125100</v>
      </c>
      <c r="X47" s="20" t="n">
        <v>0</v>
      </c>
      <c r="Y47" s="21" t="n">
        <v>-3.854</v>
      </c>
      <c r="Z47" s="21" t="n">
        <v>121.298</v>
      </c>
      <c r="AA47" s="11" t="inlineStr">
        <is>
          <t>Tidak</t>
        </is>
      </c>
    </row>
    <row r="48">
      <c r="B48" s="12" t="inlineStr">
        <is>
          <t>ANTAM Pomalaa RKEF</t>
        </is>
      </c>
      <c r="C48" s="12" t="inlineStr">
        <is>
          <t>Kawasan Industri Antam Timur</t>
        </is>
      </c>
      <c r="D48" s="13" t="inlineStr">
        <is>
          <t>Sulawesi Tenggara</t>
        </is>
      </c>
      <c r="E48" s="13" t="inlineStr">
        <is>
          <t>Kolaka Regency</t>
        </is>
      </c>
      <c r="F48" s="13" t="inlineStr">
        <is>
          <t>RKEF</t>
        </is>
      </c>
      <c r="G48" s="13" t="inlineStr">
        <is>
          <t>FeNi</t>
        </is>
      </c>
      <c r="H48" s="19" t="inlineStr">
        <is>
          <t>Operating</t>
        </is>
      </c>
      <c r="I48" s="23" t="n">
        <v>90000</v>
      </c>
      <c r="J48" s="23" t="n">
        <v>27000</v>
      </c>
      <c r="K48" s="23" t="n">
        <v>160</v>
      </c>
      <c r="L48" s="23" t="n">
        <v>60</v>
      </c>
      <c r="M48" s="23" t="n">
        <v>0</v>
      </c>
      <c r="N48" s="24" t="n">
        <v>0.375</v>
      </c>
      <c r="O48" s="24" t="n">
        <v>0</v>
      </c>
      <c r="P48" s="24" t="n">
        <v>45</v>
      </c>
      <c r="Q48" s="23" t="n">
        <v>1215000</v>
      </c>
      <c r="R48" s="22" t="inlineStr">
        <is>
          <t>Sedang</t>
        </is>
      </c>
      <c r="S48" s="13" t="inlineStr">
        <is>
          <t>Menengah</t>
        </is>
      </c>
      <c r="T48" s="23" t="n">
        <v>1640250</v>
      </c>
      <c r="U48" s="23" t="n">
        <v>850500</v>
      </c>
      <c r="V48" s="23" t="n">
        <v>2551500</v>
      </c>
      <c r="W48" s="23" t="n">
        <v>60750</v>
      </c>
      <c r="X48" s="23" t="n">
        <v>387281</v>
      </c>
      <c r="Y48" s="24" t="n">
        <v>-4.186</v>
      </c>
      <c r="Z48" s="24" t="n">
        <v>121.611</v>
      </c>
      <c r="AA48" s="13" t="inlineStr">
        <is>
          <t>Ya</t>
        </is>
      </c>
    </row>
    <row r="49">
      <c r="B49" s="10" t="inlineStr">
        <is>
          <t>Mapan Asri Sejahtera</t>
        </is>
      </c>
      <c r="C49" s="10" t="inlineStr"/>
      <c r="D49" s="11" t="inlineStr">
        <is>
          <t>Sulawesi Tenggara</t>
        </is>
      </c>
      <c r="E49" s="11" t="inlineStr">
        <is>
          <t>Kolaka Regency</t>
        </is>
      </c>
      <c r="F49" s="11" t="inlineStr">
        <is>
          <t>BF</t>
        </is>
      </c>
      <c r="G49" s="11" t="inlineStr">
        <is>
          <t>NPI</t>
        </is>
      </c>
      <c r="H49" s="19" t="inlineStr">
        <is>
          <t>Operating</t>
        </is>
      </c>
      <c r="I49" s="20" t="n">
        <v>21531</v>
      </c>
      <c r="J49" s="20" t="n">
        <v>0</v>
      </c>
      <c r="K49" s="20" t="n">
        <v>3</v>
      </c>
      <c r="L49" s="20" t="n">
        <v>3</v>
      </c>
      <c r="M49" s="20" t="n">
        <v>0</v>
      </c>
      <c r="N49" s="21" t="n">
        <v>1</v>
      </c>
      <c r="O49" s="21" t="n">
        <v>0</v>
      </c>
      <c r="P49" s="21" t="n">
        <v>68.40000000000001</v>
      </c>
      <c r="Q49" s="20" t="n">
        <v>0</v>
      </c>
      <c r="R49" s="25" t="inlineStr">
        <is>
          <t>Tinggi</t>
        </is>
      </c>
      <c r="S49" s="11" t="inlineStr">
        <is>
          <t>Kecil</t>
        </is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1" t="n">
        <v>-4.271</v>
      </c>
      <c r="Z49" s="21" t="n">
        <v>121.566</v>
      </c>
      <c r="AA49" s="11" t="inlineStr">
        <is>
          <t>Tidak</t>
        </is>
      </c>
    </row>
    <row r="50">
      <c r="B50" s="12" t="inlineStr">
        <is>
          <t>Obsidian Stainless Steel</t>
        </is>
      </c>
      <c r="C50" s="12" t="inlineStr">
        <is>
          <t>Kawasan Industri VDNI / Kawasan Industri Morosi / Delong Industrial Park</t>
        </is>
      </c>
      <c r="D50" s="13" t="inlineStr">
        <is>
          <t>Sulawesi Tenggara</t>
        </is>
      </c>
      <c r="E50" s="13" t="inlineStr">
        <is>
          <t>Konawe Regency</t>
        </is>
      </c>
      <c r="F50" s="13" t="inlineStr">
        <is>
          <t>RKEF</t>
        </is>
      </c>
      <c r="G50" s="13" t="inlineStr">
        <is>
          <t>NPI</t>
        </is>
      </c>
      <c r="H50" s="19" t="inlineStr">
        <is>
          <t>Operating</t>
        </is>
      </c>
      <c r="I50" s="23" t="n">
        <v>2500000</v>
      </c>
      <c r="J50" s="23" t="n">
        <v>0</v>
      </c>
      <c r="K50" s="23" t="n">
        <v>1780</v>
      </c>
      <c r="L50" s="23" t="n">
        <v>1780</v>
      </c>
      <c r="M50" s="23" t="n">
        <v>0</v>
      </c>
      <c r="N50" s="24" t="n">
        <v>1</v>
      </c>
      <c r="O50" s="24" t="n">
        <v>0</v>
      </c>
      <c r="P50" s="24" t="n">
        <v>68.40000000000001</v>
      </c>
      <c r="Q50" s="23" t="n">
        <v>0</v>
      </c>
      <c r="R50" s="25" t="inlineStr">
        <is>
          <t>Tinggi</t>
        </is>
      </c>
      <c r="S50" s="13" t="inlineStr">
        <is>
          <t>Raksasa</t>
        </is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4" t="n">
        <v>-3.871</v>
      </c>
      <c r="Z50" s="24" t="n">
        <v>122.403</v>
      </c>
      <c r="AA50" s="13" t="inlineStr">
        <is>
          <t>Tidak</t>
        </is>
      </c>
    </row>
    <row r="51">
      <c r="B51" s="10" t="inlineStr">
        <is>
          <t>Virtue Dragon Nickel Industry (VDNI)</t>
        </is>
      </c>
      <c r="C51" s="10" t="inlineStr">
        <is>
          <t>Kawasan Industri VDNI / Kawasan Industri Morosi / Delong Industrial Park</t>
        </is>
      </c>
      <c r="D51" s="11" t="inlineStr">
        <is>
          <t>Sulawesi Tenggara</t>
        </is>
      </c>
      <c r="E51" s="11" t="inlineStr">
        <is>
          <t>Konawe Regency</t>
        </is>
      </c>
      <c r="F51" s="11" t="inlineStr">
        <is>
          <t>RKEF</t>
        </is>
      </c>
      <c r="G51" s="11" t="inlineStr">
        <is>
          <t>NPI</t>
        </is>
      </c>
      <c r="H51" s="19" t="inlineStr">
        <is>
          <t>Operating</t>
        </is>
      </c>
      <c r="I51" s="20" t="n">
        <v>1000000</v>
      </c>
      <c r="J51" s="20" t="n">
        <v>0</v>
      </c>
      <c r="K51" s="20" t="n">
        <v>530</v>
      </c>
      <c r="L51" s="20" t="n">
        <v>530</v>
      </c>
      <c r="M51" s="20" t="n">
        <v>0</v>
      </c>
      <c r="N51" s="21" t="n">
        <v>1</v>
      </c>
      <c r="O51" s="21" t="n">
        <v>0</v>
      </c>
      <c r="P51" s="21" t="n">
        <v>68.40000000000001</v>
      </c>
      <c r="Q51" s="20" t="n">
        <v>0</v>
      </c>
      <c r="R51" s="25" t="inlineStr">
        <is>
          <t>Tinggi</t>
        </is>
      </c>
      <c r="S51" s="11" t="inlineStr">
        <is>
          <t>Raksasa</t>
        </is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1" t="n">
        <v>-3.907</v>
      </c>
      <c r="Z51" s="21" t="n">
        <v>122.417</v>
      </c>
      <c r="AA51" s="11" t="inlineStr">
        <is>
          <t>Tidak</t>
        </is>
      </c>
    </row>
    <row r="52">
      <c r="B52" s="12" t="inlineStr">
        <is>
          <t>Jade Bay Metal Industry</t>
        </is>
      </c>
      <c r="C52" s="12" t="inlineStr">
        <is>
          <t>Indonesia Weda Bay Industrial Park (IWIP)</t>
        </is>
      </c>
      <c r="D52" s="13" t="inlineStr">
        <is>
          <t>Maluku Utara</t>
        </is>
      </c>
      <c r="E52" s="13" t="inlineStr">
        <is>
          <t>Central Halmahera Regency</t>
        </is>
      </c>
      <c r="F52" s="13" t="inlineStr">
        <is>
          <t>RKEF</t>
        </is>
      </c>
      <c r="G52" s="13" t="inlineStr">
        <is>
          <t>FeNi</t>
        </is>
      </c>
      <c r="H52" s="27" t="inlineStr">
        <is>
          <t>Unclear</t>
        </is>
      </c>
      <c r="I52" s="23" t="n">
        <v>0</v>
      </c>
      <c r="J52" s="23" t="n">
        <v>27500</v>
      </c>
      <c r="K52" s="23" t="n">
        <v>0</v>
      </c>
      <c r="L52" s="23" t="n">
        <v>0</v>
      </c>
      <c r="M52" s="23" t="n">
        <v>0</v>
      </c>
      <c r="N52" s="24" t="n">
        <v>0</v>
      </c>
      <c r="O52" s="24" t="n">
        <v>0</v>
      </c>
      <c r="P52" s="24" t="n">
        <v>45</v>
      </c>
      <c r="Q52" s="23" t="n">
        <v>1237500</v>
      </c>
      <c r="R52" s="22" t="inlineStr">
        <is>
          <t>Sedang</t>
        </is>
      </c>
      <c r="S52" s="13" t="inlineStr">
        <is>
          <t>Kecil</t>
        </is>
      </c>
      <c r="T52" s="23" t="n">
        <v>1670625</v>
      </c>
      <c r="U52" s="23" t="n">
        <v>866250</v>
      </c>
      <c r="V52" s="23" t="n">
        <v>2598750</v>
      </c>
      <c r="W52" s="23" t="n">
        <v>61875</v>
      </c>
      <c r="X52" s="23" t="n">
        <v>0</v>
      </c>
      <c r="Y52" s="24" t="n">
        <v>0.489</v>
      </c>
      <c r="Z52" s="24" t="n">
        <v>127.977</v>
      </c>
      <c r="AA52" s="13" t="inlineStr">
        <is>
          <t>Tidak</t>
        </is>
      </c>
    </row>
    <row r="53">
      <c r="B53" s="10" t="inlineStr">
        <is>
          <t>ANTAM Feni Haltim RKEF</t>
        </is>
      </c>
      <c r="C53" s="10" t="inlineStr">
        <is>
          <t>Kawasan Industri Buli</t>
        </is>
      </c>
      <c r="D53" s="11" t="inlineStr">
        <is>
          <t>Maluku Utara</t>
        </is>
      </c>
      <c r="E53" s="11" t="inlineStr">
        <is>
          <t>East Halmahera Regency</t>
        </is>
      </c>
      <c r="F53" s="11" t="inlineStr">
        <is>
          <t>RKEF</t>
        </is>
      </c>
      <c r="G53" s="11" t="inlineStr">
        <is>
          <t>FeNi</t>
        </is>
      </c>
      <c r="H53" s="27" t="inlineStr">
        <is>
          <t>Unclear</t>
        </is>
      </c>
      <c r="I53" s="20" t="n">
        <v>64655</v>
      </c>
      <c r="J53" s="20" t="n">
        <v>13500</v>
      </c>
      <c r="K53" s="20" t="n">
        <v>80</v>
      </c>
      <c r="L53" s="20" t="n">
        <v>80</v>
      </c>
      <c r="M53" s="20" t="n">
        <v>0</v>
      </c>
      <c r="N53" s="21" t="n">
        <v>1</v>
      </c>
      <c r="O53" s="21" t="n">
        <v>0</v>
      </c>
      <c r="P53" s="21" t="n">
        <v>45</v>
      </c>
      <c r="Q53" s="20" t="n">
        <v>607500</v>
      </c>
      <c r="R53" s="22" t="inlineStr">
        <is>
          <t>Sedang</t>
        </is>
      </c>
      <c r="S53" s="11" t="inlineStr">
        <is>
          <t>Menengah</t>
        </is>
      </c>
      <c r="T53" s="20" t="n">
        <v>820125</v>
      </c>
      <c r="U53" s="20" t="n">
        <v>425250</v>
      </c>
      <c r="V53" s="20" t="n">
        <v>1275750</v>
      </c>
      <c r="W53" s="20" t="n">
        <v>30375</v>
      </c>
      <c r="X53" s="20" t="n">
        <v>516375</v>
      </c>
      <c r="Y53" s="21" t="n">
        <v>0.837</v>
      </c>
      <c r="Z53" s="21" t="n">
        <v>128.243</v>
      </c>
      <c r="AA53" s="11" t="inlineStr">
        <is>
          <t>Tidak</t>
        </is>
      </c>
    </row>
    <row r="54">
      <c r="B54" s="12" t="inlineStr">
        <is>
          <t>PT Lipe Metal Industry</t>
        </is>
      </c>
      <c r="C54" s="12" t="inlineStr">
        <is>
          <t>Indonesia Weda Bay Industrial Park (IWIP)</t>
        </is>
      </c>
      <c r="D54" s="13" t="inlineStr">
        <is>
          <t>Maluku Utara</t>
        </is>
      </c>
      <c r="E54" s="13" t="inlineStr">
        <is>
          <t>Central Halmahera Regency</t>
        </is>
      </c>
      <c r="F54" s="13" t="inlineStr">
        <is>
          <t>Unknown</t>
        </is>
      </c>
      <c r="G54" s="13" t="inlineStr">
        <is>
          <t>NPI</t>
        </is>
      </c>
      <c r="H54" s="27" t="inlineStr">
        <is>
          <t>Unclear</t>
        </is>
      </c>
      <c r="I54" s="23" t="n">
        <v>300000</v>
      </c>
      <c r="J54" s="23" t="n">
        <v>0</v>
      </c>
      <c r="K54" s="23" t="n">
        <v>0</v>
      </c>
      <c r="L54" s="23" t="n">
        <v>0</v>
      </c>
      <c r="M54" s="23" t="n">
        <v>0</v>
      </c>
      <c r="N54" s="24" t="n">
        <v>0</v>
      </c>
      <c r="O54" s="24" t="n">
        <v>0</v>
      </c>
      <c r="P54" s="24" t="n">
        <v>68.40000000000001</v>
      </c>
      <c r="Q54" s="23" t="n">
        <v>0</v>
      </c>
      <c r="R54" s="25" t="inlineStr">
        <is>
          <t>Tinggi</t>
        </is>
      </c>
      <c r="S54" s="13" t="inlineStr">
        <is>
          <t>Raksasa</t>
        </is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4" t="n">
        <v>0.483</v>
      </c>
      <c r="Z54" s="24" t="n">
        <v>127.991</v>
      </c>
      <c r="AA54" s="13" t="inlineStr">
        <is>
          <t>Tidak</t>
        </is>
      </c>
    </row>
    <row r="55">
      <c r="B55" s="10" t="inlineStr">
        <is>
          <t>PT Maluku Utara Metal Industry</t>
        </is>
      </c>
      <c r="C55" s="10" t="inlineStr">
        <is>
          <t>Indonesia Weda Bay Industrial Park (IWIP)</t>
        </is>
      </c>
      <c r="D55" s="11" t="inlineStr">
        <is>
          <t>Maluku Utara</t>
        </is>
      </c>
      <c r="E55" s="11" t="inlineStr">
        <is>
          <t>Central Halmahera Regency</t>
        </is>
      </c>
      <c r="F55" s="11" t="inlineStr">
        <is>
          <t>Unknown</t>
        </is>
      </c>
      <c r="G55" s="11" t="inlineStr">
        <is>
          <t>NPI</t>
        </is>
      </c>
      <c r="H55" s="27" t="inlineStr">
        <is>
          <t>Unclear</t>
        </is>
      </c>
      <c r="I55" s="20" t="n">
        <v>350000</v>
      </c>
      <c r="J55" s="20" t="n">
        <v>0</v>
      </c>
      <c r="K55" s="20" t="n">
        <v>0</v>
      </c>
      <c r="L55" s="20" t="n">
        <v>0</v>
      </c>
      <c r="M55" s="20" t="n">
        <v>0</v>
      </c>
      <c r="N55" s="21" t="n">
        <v>0</v>
      </c>
      <c r="O55" s="21" t="n">
        <v>0</v>
      </c>
      <c r="P55" s="21" t="n">
        <v>68.40000000000001</v>
      </c>
      <c r="Q55" s="20" t="n">
        <v>0</v>
      </c>
      <c r="R55" s="25" t="inlineStr">
        <is>
          <t>Tinggi</t>
        </is>
      </c>
      <c r="S55" s="11" t="inlineStr">
        <is>
          <t>Raksasa</t>
        </is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1" t="n">
        <v>0.582</v>
      </c>
      <c r="Z55" s="21" t="n">
        <v>127.947</v>
      </c>
      <c r="AA55" s="11" t="inlineStr">
        <is>
          <t>Tidak</t>
        </is>
      </c>
    </row>
    <row r="56">
      <c r="B56" s="12" t="inlineStr">
        <is>
          <t>Sulawesi Resources</t>
        </is>
      </c>
      <c r="C56" s="12" t="inlineStr"/>
      <c r="D56" s="13" t="inlineStr">
        <is>
          <t>Sulawesi Tengah</t>
        </is>
      </c>
      <c r="E56" s="13" t="inlineStr">
        <is>
          <t>Morowali Regency</t>
        </is>
      </c>
      <c r="F56" s="13" t="inlineStr">
        <is>
          <t>RKEF</t>
        </is>
      </c>
      <c r="G56" s="13" t="inlineStr">
        <is>
          <t>FeNi</t>
        </is>
      </c>
      <c r="H56" s="27" t="inlineStr">
        <is>
          <t>Unclear</t>
        </is>
      </c>
      <c r="I56" s="23" t="n">
        <v>152400</v>
      </c>
      <c r="J56" s="23" t="n">
        <v>0</v>
      </c>
      <c r="K56" s="23" t="n">
        <v>60</v>
      </c>
      <c r="L56" s="23" t="n">
        <v>60</v>
      </c>
      <c r="M56" s="23" t="n">
        <v>0</v>
      </c>
      <c r="N56" s="24" t="n">
        <v>1</v>
      </c>
      <c r="O56" s="24" t="n">
        <v>0</v>
      </c>
      <c r="P56" s="24" t="n">
        <v>45</v>
      </c>
      <c r="Q56" s="23" t="n">
        <v>0</v>
      </c>
      <c r="R56" s="22" t="inlineStr">
        <is>
          <t>Sedang</t>
        </is>
      </c>
      <c r="S56" s="13" t="inlineStr">
        <is>
          <t>Besar</t>
        </is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4" t="n">
        <v>-2.701</v>
      </c>
      <c r="Z56" s="24" t="n">
        <v>121.98</v>
      </c>
      <c r="AA56" s="13" t="inlineStr">
        <is>
          <t>Tidak</t>
        </is>
      </c>
    </row>
    <row r="57">
      <c r="B57" s="10" t="inlineStr">
        <is>
          <t>Teluk Metal Industry</t>
        </is>
      </c>
      <c r="C57" s="10" t="inlineStr">
        <is>
          <t xml:space="preserve">Indonesia Morowali Industrial Park (IMIP) </t>
        </is>
      </c>
      <c r="D57" s="11" t="inlineStr">
        <is>
          <t>Sulawesi Tengah</t>
        </is>
      </c>
      <c r="E57" s="11" t="inlineStr">
        <is>
          <t>Morowali Regency</t>
        </is>
      </c>
      <c r="F57" s="11" t="inlineStr">
        <is>
          <t>HPAL</t>
        </is>
      </c>
      <c r="G57" s="11" t="inlineStr">
        <is>
          <t>Ni Sulfate</t>
        </is>
      </c>
      <c r="H57" s="27" t="inlineStr">
        <is>
          <t>Unclear</t>
        </is>
      </c>
      <c r="I57" s="20" t="n">
        <v>272700</v>
      </c>
      <c r="J57" s="20" t="n">
        <v>0</v>
      </c>
      <c r="K57" s="20" t="n">
        <v>0</v>
      </c>
      <c r="L57" s="20" t="n">
        <v>0</v>
      </c>
      <c r="M57" s="20" t="n">
        <v>0</v>
      </c>
      <c r="N57" s="21" t="n">
        <v>0</v>
      </c>
      <c r="O57" s="21" t="n">
        <v>0</v>
      </c>
      <c r="P57" s="21" t="n">
        <v>8</v>
      </c>
      <c r="Q57" s="20" t="n">
        <v>0</v>
      </c>
      <c r="R57" s="26" t="inlineStr">
        <is>
          <t>Sangat Rendah</t>
        </is>
      </c>
      <c r="S57" s="11" t="inlineStr">
        <is>
          <t>Besar</t>
        </is>
      </c>
      <c r="T57" s="20" t="n">
        <v>0</v>
      </c>
      <c r="U57" s="20" t="n">
        <v>0</v>
      </c>
      <c r="V57" s="20" t="n">
        <v>0</v>
      </c>
      <c r="W57" s="20" t="n">
        <v>0</v>
      </c>
      <c r="X57" s="20" t="n">
        <v>0</v>
      </c>
      <c r="Y57" s="21" t="n">
        <v>-2.836</v>
      </c>
      <c r="Z57" s="21" t="n">
        <v>122.119</v>
      </c>
      <c r="AA57" s="11" t="inlineStr">
        <is>
          <t>Tidak</t>
        </is>
      </c>
    </row>
    <row r="58">
      <c r="B58" s="12" t="inlineStr">
        <is>
          <t>Adhikara Cipta Mulia</t>
        </is>
      </c>
      <c r="C58" s="12" t="inlineStr"/>
      <c r="D58" s="13" t="inlineStr">
        <is>
          <t>Sulawesi Tenggara</t>
        </is>
      </c>
      <c r="E58" s="13" t="inlineStr">
        <is>
          <t>North Konawe Regency</t>
        </is>
      </c>
      <c r="F58" s="13" t="inlineStr">
        <is>
          <t>HPAL</t>
        </is>
      </c>
      <c r="G58" s="13" t="inlineStr">
        <is>
          <t>MHP</t>
        </is>
      </c>
      <c r="H58" s="27" t="inlineStr">
        <is>
          <t>Unclear</t>
        </is>
      </c>
      <c r="I58" s="23" t="n">
        <v>76500</v>
      </c>
      <c r="J58" s="23" t="n">
        <v>30400</v>
      </c>
      <c r="K58" s="23" t="n">
        <v>1</v>
      </c>
      <c r="L58" s="23" t="n">
        <v>0</v>
      </c>
      <c r="M58" s="23" t="n">
        <v>0</v>
      </c>
      <c r="N58" s="24" t="n">
        <v>0</v>
      </c>
      <c r="O58" s="24" t="n">
        <v>0</v>
      </c>
      <c r="P58" s="24" t="n">
        <v>10.5</v>
      </c>
      <c r="Q58" s="23" t="n">
        <v>319200</v>
      </c>
      <c r="R58" s="19" t="inlineStr">
        <is>
          <t>Rendah</t>
        </is>
      </c>
      <c r="S58" s="13" t="inlineStr">
        <is>
          <t>Menengah</t>
        </is>
      </c>
      <c r="T58" s="23" t="n">
        <v>430920</v>
      </c>
      <c r="U58" s="23" t="n">
        <v>223440</v>
      </c>
      <c r="V58" s="23" t="n">
        <v>670320</v>
      </c>
      <c r="W58" s="23" t="n">
        <v>15960</v>
      </c>
      <c r="X58" s="23" t="n">
        <v>0</v>
      </c>
      <c r="Y58" s="24" t="n">
        <v>-3.523</v>
      </c>
      <c r="Z58" s="24" t="n">
        <v>122.165</v>
      </c>
      <c r="AA58" s="13" t="inlineStr">
        <is>
          <t>Tidak</t>
        </is>
      </c>
    </row>
    <row r="59">
      <c r="B59" s="10" t="inlineStr">
        <is>
          <t>Debonair Nickel Industry</t>
        </is>
      </c>
      <c r="C59" s="10" t="inlineStr">
        <is>
          <t>Indonesia Weda Bay Industrial Park (IWIP)</t>
        </is>
      </c>
      <c r="D59" s="11" t="inlineStr">
        <is>
          <t>Maluku Utara</t>
        </is>
      </c>
      <c r="E59" s="11" t="inlineStr">
        <is>
          <t>Central Halmahera Regency</t>
        </is>
      </c>
      <c r="F59" s="11" t="inlineStr">
        <is>
          <t>RKEF</t>
        </is>
      </c>
      <c r="G59" s="11" t="inlineStr">
        <is>
          <t>FeNi</t>
        </is>
      </c>
      <c r="H59" s="28" t="inlineStr">
        <is>
          <t xml:space="preserve"> Construction</t>
        </is>
      </c>
      <c r="I59" s="20" t="n">
        <v>0</v>
      </c>
      <c r="J59" s="20" t="n">
        <v>27500</v>
      </c>
      <c r="K59" s="20" t="n">
        <v>0</v>
      </c>
      <c r="L59" s="20" t="n">
        <v>0</v>
      </c>
      <c r="M59" s="20" t="n">
        <v>0</v>
      </c>
      <c r="N59" s="21" t="n">
        <v>0</v>
      </c>
      <c r="O59" s="21" t="n">
        <v>0</v>
      </c>
      <c r="P59" s="21" t="n">
        <v>45</v>
      </c>
      <c r="Q59" s="20" t="n">
        <v>1237500</v>
      </c>
      <c r="R59" s="22" t="inlineStr">
        <is>
          <t>Sedang</t>
        </is>
      </c>
      <c r="S59" s="11" t="inlineStr">
        <is>
          <t>Kecil</t>
        </is>
      </c>
      <c r="T59" s="20" t="n">
        <v>1670625</v>
      </c>
      <c r="U59" s="20" t="n">
        <v>866250</v>
      </c>
      <c r="V59" s="20" t="n">
        <v>2598750</v>
      </c>
      <c r="W59" s="20" t="n">
        <v>61875</v>
      </c>
      <c r="X59" s="20" t="n">
        <v>0</v>
      </c>
      <c r="Y59" s="21" t="n">
        <v>0.488</v>
      </c>
      <c r="Z59" s="21" t="n">
        <v>127.977</v>
      </c>
      <c r="AA59" s="11" t="inlineStr">
        <is>
          <t>Tidak</t>
        </is>
      </c>
    </row>
    <row r="60">
      <c r="B60" s="12" t="inlineStr">
        <is>
          <t>PT Blue Sparking Energy</t>
        </is>
      </c>
      <c r="C60" s="12" t="inlineStr">
        <is>
          <t>Indonesia Weda Bay Industrial Park (IWIP)</t>
        </is>
      </c>
      <c r="D60" s="13" t="inlineStr">
        <is>
          <t>Maluku Utara</t>
        </is>
      </c>
      <c r="E60" s="13" t="inlineStr">
        <is>
          <t>Central Halmahera Regency</t>
        </is>
      </c>
      <c r="F60" s="13" t="inlineStr">
        <is>
          <t>HPAL</t>
        </is>
      </c>
      <c r="G60" s="13" t="inlineStr">
        <is>
          <t>MHP</t>
        </is>
      </c>
      <c r="H60" s="28" t="inlineStr">
        <is>
          <t xml:space="preserve"> Construction</t>
        </is>
      </c>
      <c r="I60" s="23" t="n">
        <v>0</v>
      </c>
      <c r="J60" s="23" t="n">
        <v>67000</v>
      </c>
      <c r="K60" s="23" t="n">
        <v>0</v>
      </c>
      <c r="L60" s="23" t="n">
        <v>0</v>
      </c>
      <c r="M60" s="23" t="n">
        <v>0</v>
      </c>
      <c r="N60" s="24" t="n">
        <v>0</v>
      </c>
      <c r="O60" s="24" t="n">
        <v>0</v>
      </c>
      <c r="P60" s="24" t="n">
        <v>10.5</v>
      </c>
      <c r="Q60" s="23" t="n">
        <v>703500</v>
      </c>
      <c r="R60" s="19" t="inlineStr">
        <is>
          <t>Rendah</t>
        </is>
      </c>
      <c r="S60" s="13" t="inlineStr">
        <is>
          <t>Kecil</t>
        </is>
      </c>
      <c r="T60" s="23" t="n">
        <v>949725</v>
      </c>
      <c r="U60" s="23" t="n">
        <v>492450</v>
      </c>
      <c r="V60" s="23" t="n">
        <v>1477350</v>
      </c>
      <c r="W60" s="23" t="n">
        <v>35175</v>
      </c>
      <c r="X60" s="23" t="n">
        <v>0</v>
      </c>
      <c r="Y60" s="24" t="n">
        <v>0.484</v>
      </c>
      <c r="Z60" s="24" t="n">
        <v>127.986</v>
      </c>
      <c r="AA60" s="13" t="inlineStr">
        <is>
          <t>Tidak</t>
        </is>
      </c>
    </row>
    <row r="61">
      <c r="B61" s="10" t="inlineStr">
        <is>
          <t>Fajar Metal Industry Excelsior Nickel Cobalt Project</t>
        </is>
      </c>
      <c r="C61" s="10" t="inlineStr">
        <is>
          <t>Indonesia Morowali Industrial Park (IMIP)</t>
        </is>
      </c>
      <c r="D61" s="11" t="inlineStr">
        <is>
          <t>Sulawesi Tengah</t>
        </is>
      </c>
      <c r="E61" s="11" t="inlineStr">
        <is>
          <t>Morowali Regency</t>
        </is>
      </c>
      <c r="F61" s="11" t="inlineStr">
        <is>
          <t>HPAL</t>
        </is>
      </c>
      <c r="G61" s="11" t="inlineStr">
        <is>
          <t>Ni Sulfate</t>
        </is>
      </c>
      <c r="H61" s="28" t="inlineStr">
        <is>
          <t xml:space="preserve"> Construction</t>
        </is>
      </c>
      <c r="I61" s="20" t="n">
        <v>272700</v>
      </c>
      <c r="J61" s="20" t="n">
        <v>60000</v>
      </c>
      <c r="K61" s="20" t="n">
        <v>0</v>
      </c>
      <c r="L61" s="20" t="n">
        <v>0</v>
      </c>
      <c r="M61" s="20" t="n">
        <v>0</v>
      </c>
      <c r="N61" s="21" t="n">
        <v>0</v>
      </c>
      <c r="O61" s="21" t="n">
        <v>0</v>
      </c>
      <c r="P61" s="21" t="n">
        <v>8</v>
      </c>
      <c r="Q61" s="20" t="n">
        <v>480000</v>
      </c>
      <c r="R61" s="26" t="inlineStr">
        <is>
          <t>Sangat Rendah</t>
        </is>
      </c>
      <c r="S61" s="11" t="inlineStr">
        <is>
          <t>Besar</t>
        </is>
      </c>
      <c r="T61" s="20" t="n">
        <v>648000</v>
      </c>
      <c r="U61" s="20" t="n">
        <v>336000</v>
      </c>
      <c r="V61" s="20" t="n">
        <v>1008000</v>
      </c>
      <c r="W61" s="20" t="n">
        <v>24000</v>
      </c>
      <c r="X61" s="20" t="n">
        <v>0</v>
      </c>
      <c r="Y61" s="21" t="n">
        <v>-2.838</v>
      </c>
      <c r="Z61" s="21" t="n">
        <v>122.118</v>
      </c>
      <c r="AA61" s="11" t="inlineStr">
        <is>
          <t>Tidak</t>
        </is>
      </c>
    </row>
    <row r="62">
      <c r="B62" s="12" t="inlineStr">
        <is>
          <t>PT Meiming New Energy Material</t>
        </is>
      </c>
      <c r="C62" s="12" t="inlineStr">
        <is>
          <t>Indonesia Morowali Industrial Park (IMIP)</t>
        </is>
      </c>
      <c r="D62" s="13" t="inlineStr">
        <is>
          <t>Sulawesi Tengah</t>
        </is>
      </c>
      <c r="E62" s="13" t="inlineStr">
        <is>
          <t>Morowali Regency</t>
        </is>
      </c>
      <c r="F62" s="13" t="inlineStr">
        <is>
          <t>HPAL</t>
        </is>
      </c>
      <c r="G62" s="13" t="inlineStr">
        <is>
          <t>MHP</t>
        </is>
      </c>
      <c r="H62" s="28" t="inlineStr">
        <is>
          <t xml:space="preserve"> Construction</t>
        </is>
      </c>
      <c r="I62" s="23" t="n">
        <v>0</v>
      </c>
      <c r="J62" s="23" t="n">
        <v>25000</v>
      </c>
      <c r="K62" s="23" t="n">
        <v>0</v>
      </c>
      <c r="L62" s="23" t="n">
        <v>0</v>
      </c>
      <c r="M62" s="23" t="n">
        <v>0</v>
      </c>
      <c r="N62" s="24" t="n">
        <v>0</v>
      </c>
      <c r="O62" s="24" t="n">
        <v>0</v>
      </c>
      <c r="P62" s="24" t="n">
        <v>10.5</v>
      </c>
      <c r="Q62" s="23" t="n">
        <v>262500</v>
      </c>
      <c r="R62" s="19" t="inlineStr">
        <is>
          <t>Rendah</t>
        </is>
      </c>
      <c r="S62" s="13" t="inlineStr">
        <is>
          <t>Kecil</t>
        </is>
      </c>
      <c r="T62" s="23" t="n">
        <v>354375</v>
      </c>
      <c r="U62" s="23" t="n">
        <v>183750</v>
      </c>
      <c r="V62" s="23" t="n">
        <v>551250</v>
      </c>
      <c r="W62" s="23" t="n">
        <v>13125</v>
      </c>
      <c r="X62" s="23" t="n">
        <v>0</v>
      </c>
      <c r="Y62" s="24" t="n">
        <v>-2.86</v>
      </c>
      <c r="Z62" s="24" t="n">
        <v>122.145</v>
      </c>
      <c r="AA62" s="13" t="inlineStr">
        <is>
          <t>Tidak</t>
        </is>
      </c>
    </row>
    <row r="63">
      <c r="B63" s="10" t="inlineStr">
        <is>
          <t>Bahodopi Nickel Smelting Indonesia</t>
        </is>
      </c>
      <c r="C63" s="10" t="inlineStr">
        <is>
          <t>Kawasan Industri ATI (Anugrah Tambang Industri)</t>
        </is>
      </c>
      <c r="D63" s="11" t="inlineStr">
        <is>
          <t>Sulawesi Tengah</t>
        </is>
      </c>
      <c r="E63" s="11" t="inlineStr">
        <is>
          <t>Morowali Regency</t>
        </is>
      </c>
      <c r="F63" s="11" t="inlineStr">
        <is>
          <t>HPAL</t>
        </is>
      </c>
      <c r="G63" s="11" t="inlineStr">
        <is>
          <t>MHP</t>
        </is>
      </c>
      <c r="H63" s="28" t="inlineStr">
        <is>
          <t xml:space="preserve"> Construction</t>
        </is>
      </c>
      <c r="I63" s="20" t="n">
        <v>73000</v>
      </c>
      <c r="J63" s="20" t="n">
        <v>0</v>
      </c>
      <c r="K63" s="20" t="n">
        <v>500</v>
      </c>
      <c r="L63" s="20" t="n">
        <v>0</v>
      </c>
      <c r="M63" s="20" t="n">
        <v>0</v>
      </c>
      <c r="N63" s="21" t="n">
        <v>0</v>
      </c>
      <c r="O63" s="21" t="n">
        <v>0</v>
      </c>
      <c r="P63" s="21" t="n">
        <v>10.5</v>
      </c>
      <c r="Q63" s="20" t="n">
        <v>0</v>
      </c>
      <c r="R63" s="19" t="inlineStr">
        <is>
          <t>Rendah</t>
        </is>
      </c>
      <c r="S63" s="11" t="inlineStr">
        <is>
          <t>Menengah</t>
        </is>
      </c>
      <c r="T63" s="20" t="n">
        <v>0</v>
      </c>
      <c r="U63" s="20" t="n">
        <v>0</v>
      </c>
      <c r="V63" s="20" t="n">
        <v>0</v>
      </c>
      <c r="W63" s="20" t="n">
        <v>0</v>
      </c>
      <c r="X63" s="20" t="n">
        <v>0</v>
      </c>
      <c r="Y63" s="21" t="n">
        <v>-3.091</v>
      </c>
      <c r="Z63" s="21" t="n">
        <v>122.33</v>
      </c>
      <c r="AA63" s="11" t="inlineStr">
        <is>
          <t>Tidak</t>
        </is>
      </c>
    </row>
    <row r="64">
      <c r="B64" s="12" t="inlineStr">
        <is>
          <t>PT Mazinger Nickel Industry</t>
        </is>
      </c>
      <c r="C64" s="12" t="inlineStr">
        <is>
          <t>Delong Industrial Park</t>
        </is>
      </c>
      <c r="D64" s="13" t="inlineStr">
        <is>
          <t>Sulawesi Tengah</t>
        </is>
      </c>
      <c r="E64" s="13" t="inlineStr">
        <is>
          <t>North Morowali Regency</t>
        </is>
      </c>
      <c r="F64" s="13" t="inlineStr">
        <is>
          <t>RKEF</t>
        </is>
      </c>
      <c r="G64" s="13" t="inlineStr">
        <is>
          <t>NPI</t>
        </is>
      </c>
      <c r="H64" s="28" t="inlineStr">
        <is>
          <t xml:space="preserve"> Construction</t>
        </is>
      </c>
      <c r="I64" s="23" t="n">
        <v>240000</v>
      </c>
      <c r="J64" s="23" t="n">
        <v>0</v>
      </c>
      <c r="K64" s="23" t="n">
        <v>0</v>
      </c>
      <c r="L64" s="23" t="n">
        <v>0</v>
      </c>
      <c r="M64" s="23" t="n">
        <v>0</v>
      </c>
      <c r="N64" s="24" t="n">
        <v>0</v>
      </c>
      <c r="O64" s="24" t="n">
        <v>0</v>
      </c>
      <c r="P64" s="24" t="n">
        <v>68.40000000000001</v>
      </c>
      <c r="Q64" s="23" t="n">
        <v>0</v>
      </c>
      <c r="R64" s="25" t="inlineStr">
        <is>
          <t>Tinggi</t>
        </is>
      </c>
      <c r="S64" s="13" t="inlineStr">
        <is>
          <t>Besar</t>
        </is>
      </c>
      <c r="T64" s="23" t="n">
        <v>0</v>
      </c>
      <c r="U64" s="23" t="n">
        <v>0</v>
      </c>
      <c r="V64" s="23" t="n">
        <v>0</v>
      </c>
      <c r="W64" s="23" t="n">
        <v>0</v>
      </c>
      <c r="X64" s="23" t="n">
        <v>0</v>
      </c>
      <c r="Y64" s="24" t="n">
        <v>-2.017</v>
      </c>
      <c r="Z64" s="24" t="n">
        <v>121.42</v>
      </c>
      <c r="AA64" s="13" t="inlineStr">
        <is>
          <t>Tidak</t>
        </is>
      </c>
    </row>
    <row r="65">
      <c r="B65" s="10" t="inlineStr">
        <is>
          <t>Kolaka Nickel Indonesia</t>
        </is>
      </c>
      <c r="C65" s="10" t="inlineStr">
        <is>
          <t>Indonesia Pomalaa Industrial Park (IPIP)</t>
        </is>
      </c>
      <c r="D65" s="11" t="inlineStr">
        <is>
          <t>Sulawesi Tenggara</t>
        </is>
      </c>
      <c r="E65" s="11" t="inlineStr">
        <is>
          <t>Kolaka Regency</t>
        </is>
      </c>
      <c r="F65" s="11" t="inlineStr">
        <is>
          <t>HPAL</t>
        </is>
      </c>
      <c r="G65" s="11" t="inlineStr">
        <is>
          <t>MSP</t>
        </is>
      </c>
      <c r="H65" s="28" t="inlineStr">
        <is>
          <t xml:space="preserve"> Construction</t>
        </is>
      </c>
      <c r="I65" s="20" t="n">
        <v>0</v>
      </c>
      <c r="J65" s="20" t="n">
        <v>120000</v>
      </c>
      <c r="K65" s="20" t="n">
        <v>0</v>
      </c>
      <c r="L65" s="20" t="n">
        <v>0</v>
      </c>
      <c r="M65" s="20" t="n">
        <v>0</v>
      </c>
      <c r="N65" s="21" t="n">
        <v>0</v>
      </c>
      <c r="O65" s="21" t="n">
        <v>0</v>
      </c>
      <c r="P65" s="21" t="n">
        <v>12</v>
      </c>
      <c r="Q65" s="20" t="n">
        <v>1440000</v>
      </c>
      <c r="R65" s="19" t="inlineStr">
        <is>
          <t>Rendah</t>
        </is>
      </c>
      <c r="S65" s="11" t="inlineStr">
        <is>
          <t>Kecil</t>
        </is>
      </c>
      <c r="T65" s="20" t="n">
        <v>1944000</v>
      </c>
      <c r="U65" s="20" t="n">
        <v>1008000</v>
      </c>
      <c r="V65" s="20" t="n">
        <v>3024000</v>
      </c>
      <c r="W65" s="20" t="n">
        <v>72000</v>
      </c>
      <c r="X65" s="20" t="n">
        <v>0</v>
      </c>
      <c r="Y65" s="21" t="n">
        <v>-4.232</v>
      </c>
      <c r="Z65" s="21" t="n">
        <v>121.585</v>
      </c>
      <c r="AA65" s="11" t="inlineStr">
        <is>
          <t>Tidak</t>
        </is>
      </c>
    </row>
    <row r="66">
      <c r="B66" s="12" t="inlineStr">
        <is>
          <t>Ceria Nugraha Indotama (HPAL)</t>
        </is>
      </c>
      <c r="C66" s="12" t="inlineStr"/>
      <c r="D66" s="13" t="inlineStr">
        <is>
          <t>Sulawesi Tenggara</t>
        </is>
      </c>
      <c r="E66" s="13" t="inlineStr">
        <is>
          <t>Kolaka Regency</t>
        </is>
      </c>
      <c r="F66" s="13" t="inlineStr">
        <is>
          <t>HPAL</t>
        </is>
      </c>
      <c r="G66" s="13" t="inlineStr">
        <is>
          <t>MHP</t>
        </is>
      </c>
      <c r="H66" s="28" t="inlineStr">
        <is>
          <t xml:space="preserve"> Construction</t>
        </is>
      </c>
      <c r="I66" s="23" t="n">
        <v>293200</v>
      </c>
      <c r="J66" s="23" t="n">
        <v>110900</v>
      </c>
      <c r="K66" s="23" t="n">
        <v>352</v>
      </c>
      <c r="L66" s="23" t="n">
        <v>0</v>
      </c>
      <c r="M66" s="23" t="n">
        <v>0</v>
      </c>
      <c r="N66" s="24" t="n">
        <v>0</v>
      </c>
      <c r="O66" s="24" t="n">
        <v>0</v>
      </c>
      <c r="P66" s="24" t="n">
        <v>10.5</v>
      </c>
      <c r="Q66" s="23" t="n">
        <v>1164450</v>
      </c>
      <c r="R66" s="19" t="inlineStr">
        <is>
          <t>Rendah</t>
        </is>
      </c>
      <c r="S66" s="13" t="inlineStr">
        <is>
          <t>Besar</t>
        </is>
      </c>
      <c r="T66" s="23" t="n">
        <v>1572008</v>
      </c>
      <c r="U66" s="23" t="n">
        <v>815115</v>
      </c>
      <c r="V66" s="23" t="n">
        <v>2445345</v>
      </c>
      <c r="W66" s="23" t="n">
        <v>58222</v>
      </c>
      <c r="X66" s="23" t="n">
        <v>0</v>
      </c>
      <c r="Y66" s="24" t="n">
        <v>-3.866</v>
      </c>
      <c r="Z66" s="24" t="n">
        <v>121.31</v>
      </c>
      <c r="AA66" s="13" t="inlineStr">
        <is>
          <t>Tidak</t>
        </is>
      </c>
    </row>
    <row r="67">
      <c r="B67" s="10" t="inlineStr">
        <is>
          <t>Huashan Nickel Cobalt</t>
        </is>
      </c>
      <c r="C67" s="10" t="inlineStr">
        <is>
          <t>Indonesia Weda Bay Industrial Park (IWIP)</t>
        </is>
      </c>
      <c r="D67" s="11" t="inlineStr">
        <is>
          <t>Maluku Utara</t>
        </is>
      </c>
      <c r="E67" s="11" t="inlineStr">
        <is>
          <t>Central Halmahera Regency</t>
        </is>
      </c>
      <c r="F67" s="11" t="inlineStr">
        <is>
          <t>HPAL</t>
        </is>
      </c>
      <c r="G67" s="11" t="inlineStr">
        <is>
          <t>MHP</t>
        </is>
      </c>
      <c r="H67" s="29" t="inlineStr">
        <is>
          <t>Stalled</t>
        </is>
      </c>
      <c r="I67" s="20" t="n">
        <v>326000</v>
      </c>
      <c r="J67" s="20" t="n">
        <v>120000</v>
      </c>
      <c r="K67" s="20" t="n">
        <v>0</v>
      </c>
      <c r="L67" s="20" t="n">
        <v>0</v>
      </c>
      <c r="M67" s="20" t="n">
        <v>0</v>
      </c>
      <c r="N67" s="21" t="n">
        <v>0</v>
      </c>
      <c r="O67" s="21" t="n">
        <v>0</v>
      </c>
      <c r="P67" s="21" t="n">
        <v>10.5</v>
      </c>
      <c r="Q67" s="20" t="n">
        <v>1260000</v>
      </c>
      <c r="R67" s="19" t="inlineStr">
        <is>
          <t>Rendah</t>
        </is>
      </c>
      <c r="S67" s="11" t="inlineStr">
        <is>
          <t>Raksasa</t>
        </is>
      </c>
      <c r="T67" s="20" t="n">
        <v>1701000</v>
      </c>
      <c r="U67" s="20" t="n">
        <v>882000</v>
      </c>
      <c r="V67" s="20" t="n">
        <v>2646000</v>
      </c>
      <c r="W67" s="20" t="n">
        <v>63000</v>
      </c>
      <c r="X67" s="20" t="n">
        <v>0</v>
      </c>
      <c r="Y67" s="21" t="n">
        <v>0.481</v>
      </c>
      <c r="Z67" s="21" t="n">
        <v>127.947</v>
      </c>
      <c r="AA67" s="11" t="inlineStr">
        <is>
          <t>Tidak</t>
        </is>
      </c>
    </row>
    <row r="68">
      <c r="B68" s="12" t="inlineStr">
        <is>
          <t>Teka Mining Resources</t>
        </is>
      </c>
      <c r="C68" s="12" t="inlineStr"/>
      <c r="D68" s="13" t="inlineStr">
        <is>
          <t>Maluku Utara</t>
        </is>
      </c>
      <c r="E68" s="13" t="inlineStr">
        <is>
          <t>Central Halmahera Regency</t>
        </is>
      </c>
      <c r="F68" s="13" t="inlineStr">
        <is>
          <t>Unknown</t>
        </is>
      </c>
      <c r="G68" s="13" t="inlineStr">
        <is>
          <t>NPI</t>
        </is>
      </c>
      <c r="H68" s="29" t="inlineStr">
        <is>
          <t>Stalled</t>
        </is>
      </c>
      <c r="I68" s="23" t="n">
        <v>300000</v>
      </c>
      <c r="J68" s="23" t="n">
        <v>0</v>
      </c>
      <c r="K68" s="23" t="n">
        <v>14</v>
      </c>
      <c r="L68" s="23" t="n">
        <v>0</v>
      </c>
      <c r="M68" s="23" t="n">
        <v>0</v>
      </c>
      <c r="N68" s="24" t="n">
        <v>0</v>
      </c>
      <c r="O68" s="24" t="n">
        <v>0</v>
      </c>
      <c r="P68" s="24" t="n">
        <v>68.40000000000001</v>
      </c>
      <c r="Q68" s="23" t="n">
        <v>0</v>
      </c>
      <c r="R68" s="25" t="inlineStr">
        <is>
          <t>Tinggi</t>
        </is>
      </c>
      <c r="S68" s="13" t="inlineStr">
        <is>
          <t>Raksasa</t>
        </is>
      </c>
      <c r="T68" s="23" t="n">
        <v>0</v>
      </c>
      <c r="U68" s="23" t="n">
        <v>0</v>
      </c>
      <c r="V68" s="23" t="n">
        <v>0</v>
      </c>
      <c r="W68" s="23" t="n">
        <v>0</v>
      </c>
      <c r="X68" s="23" t="n">
        <v>0</v>
      </c>
      <c r="Y68" s="24" t="n">
        <v>0.46</v>
      </c>
      <c r="Z68" s="24" t="n">
        <v>127.922</v>
      </c>
      <c r="AA68" s="13" t="inlineStr">
        <is>
          <t>Tidak</t>
        </is>
      </c>
    </row>
    <row r="69">
      <c r="B69" s="10" t="inlineStr">
        <is>
          <t>First Pacific Mining</t>
        </is>
      </c>
      <c r="C69" s="10" t="inlineStr"/>
      <c r="D69" s="11" t="inlineStr">
        <is>
          <t>Maluku Utara</t>
        </is>
      </c>
      <c r="E69" s="11" t="inlineStr">
        <is>
          <t>Central Halmahera Regency</t>
        </is>
      </c>
      <c r="F69" s="11" t="inlineStr">
        <is>
          <t>Unknown</t>
        </is>
      </c>
      <c r="G69" s="11" t="inlineStr">
        <is>
          <t>FeNi</t>
        </is>
      </c>
      <c r="H69" s="29" t="inlineStr">
        <is>
          <t>Stalled</t>
        </is>
      </c>
      <c r="I69" s="20" t="n">
        <v>30000</v>
      </c>
      <c r="J69" s="20" t="n">
        <v>0</v>
      </c>
      <c r="K69" s="20" t="n">
        <v>41</v>
      </c>
      <c r="L69" s="20" t="n">
        <v>41</v>
      </c>
      <c r="M69" s="20" t="n">
        <v>0</v>
      </c>
      <c r="N69" s="21" t="n">
        <v>1</v>
      </c>
      <c r="O69" s="21" t="n">
        <v>0</v>
      </c>
      <c r="P69" s="21" t="n">
        <v>45</v>
      </c>
      <c r="Q69" s="20" t="n">
        <v>0</v>
      </c>
      <c r="R69" s="22" t="inlineStr">
        <is>
          <t>Sedang</t>
        </is>
      </c>
      <c r="S69" s="11" t="inlineStr">
        <is>
          <t>Kecil</t>
        </is>
      </c>
      <c r="T69" s="20" t="n">
        <v>0</v>
      </c>
      <c r="U69" s="20" t="n">
        <v>0</v>
      </c>
      <c r="V69" s="20" t="n">
        <v>0</v>
      </c>
      <c r="W69" s="20" t="n">
        <v>0</v>
      </c>
      <c r="X69" s="20" t="n">
        <v>0</v>
      </c>
      <c r="Y69" s="21" t="n">
        <v>0</v>
      </c>
      <c r="Z69" s="21" t="n">
        <v>0</v>
      </c>
      <c r="AA69" s="11" t="inlineStr">
        <is>
          <t>Tidak</t>
        </is>
      </c>
    </row>
    <row r="70">
      <c r="B70" s="12" t="inlineStr">
        <is>
          <t>Alchemist Metal Industry</t>
        </is>
      </c>
      <c r="C70" s="12" t="inlineStr"/>
      <c r="D70" s="13" t="inlineStr">
        <is>
          <t>Maluku Utara</t>
        </is>
      </c>
      <c r="E70" s="13" t="inlineStr">
        <is>
          <t>North Halmahera Regency</t>
        </is>
      </c>
      <c r="F70" s="13" t="inlineStr">
        <is>
          <t>Unknown</t>
        </is>
      </c>
      <c r="G70" s="13" t="inlineStr">
        <is>
          <t>NPI</t>
        </is>
      </c>
      <c r="H70" s="29" t="inlineStr">
        <is>
          <t>Stalled</t>
        </is>
      </c>
      <c r="I70" s="23" t="n">
        <v>1600000</v>
      </c>
      <c r="J70" s="23" t="n">
        <v>0</v>
      </c>
      <c r="K70" s="23" t="n">
        <v>2202</v>
      </c>
      <c r="L70" s="23" t="n">
        <v>2202</v>
      </c>
      <c r="M70" s="23" t="n">
        <v>0</v>
      </c>
      <c r="N70" s="24" t="n">
        <v>1</v>
      </c>
      <c r="O70" s="24" t="n">
        <v>0</v>
      </c>
      <c r="P70" s="24" t="n">
        <v>68.40000000000001</v>
      </c>
      <c r="Q70" s="23" t="n">
        <v>0</v>
      </c>
      <c r="R70" s="25" t="inlineStr">
        <is>
          <t>Tinggi</t>
        </is>
      </c>
      <c r="S70" s="13" t="inlineStr">
        <is>
          <t>Raksasa</t>
        </is>
      </c>
      <c r="T70" s="23" t="n">
        <v>0</v>
      </c>
      <c r="U70" s="23" t="n">
        <v>0</v>
      </c>
      <c r="V70" s="23" t="n">
        <v>0</v>
      </c>
      <c r="W70" s="23" t="n">
        <v>0</v>
      </c>
      <c r="X70" s="23" t="n">
        <v>0</v>
      </c>
      <c r="Y70" s="24" t="n">
        <v>0</v>
      </c>
      <c r="Z70" s="24" t="n">
        <v>0</v>
      </c>
      <c r="AA70" s="13" t="inlineStr">
        <is>
          <t>Tidak</t>
        </is>
      </c>
    </row>
    <row r="71">
      <c r="B71" s="10" t="inlineStr">
        <is>
          <t>Ang And Fang Brother</t>
        </is>
      </c>
      <c r="C71" s="10" t="inlineStr"/>
      <c r="D71" s="11" t="inlineStr">
        <is>
          <t>Sulawesi Tengah</t>
        </is>
      </c>
      <c r="E71" s="11" t="inlineStr">
        <is>
          <t>Morowali Regency</t>
        </is>
      </c>
      <c r="F71" s="11" t="inlineStr">
        <is>
          <t>RKEF</t>
        </is>
      </c>
      <c r="G71" s="11" t="inlineStr">
        <is>
          <t>NPI</t>
        </is>
      </c>
      <c r="H71" s="29" t="inlineStr">
        <is>
          <t>Stalled</t>
        </is>
      </c>
      <c r="I71" s="20" t="n">
        <v>130508</v>
      </c>
      <c r="J71" s="20" t="n">
        <v>0</v>
      </c>
      <c r="K71" s="20" t="n">
        <v>110</v>
      </c>
      <c r="L71" s="20" t="n">
        <v>0</v>
      </c>
      <c r="M71" s="20" t="n">
        <v>0</v>
      </c>
      <c r="N71" s="21" t="n">
        <v>0</v>
      </c>
      <c r="O71" s="21" t="n">
        <v>0</v>
      </c>
      <c r="P71" s="21" t="n">
        <v>68.40000000000001</v>
      </c>
      <c r="Q71" s="20" t="n">
        <v>0</v>
      </c>
      <c r="R71" s="25" t="inlineStr">
        <is>
          <t>Tinggi</t>
        </is>
      </c>
      <c r="S71" s="11" t="inlineStr">
        <is>
          <t>Menengah</t>
        </is>
      </c>
      <c r="T71" s="20" t="n">
        <v>0</v>
      </c>
      <c r="U71" s="20" t="n">
        <v>0</v>
      </c>
      <c r="V71" s="20" t="n">
        <v>0</v>
      </c>
      <c r="W71" s="20" t="n">
        <v>0</v>
      </c>
      <c r="X71" s="20" t="n">
        <v>0</v>
      </c>
      <c r="Y71" s="21" t="n">
        <v>-2.787</v>
      </c>
      <c r="Z71" s="21" t="n">
        <v>122.083</v>
      </c>
      <c r="AA71" s="11" t="inlineStr">
        <is>
          <t>Tidak</t>
        </is>
      </c>
    </row>
    <row r="72">
      <c r="B72" s="12" t="inlineStr">
        <is>
          <t>Artabumi Sentra Industri</t>
        </is>
      </c>
      <c r="C72" s="12" t="inlineStr"/>
      <c r="D72" s="13" t="inlineStr">
        <is>
          <t>Sulawesi Tengah</t>
        </is>
      </c>
      <c r="E72" s="13" t="inlineStr">
        <is>
          <t>Morowali Regency</t>
        </is>
      </c>
      <c r="F72" s="13" t="inlineStr">
        <is>
          <t>BF</t>
        </is>
      </c>
      <c r="G72" s="13" t="inlineStr">
        <is>
          <t>NPI</t>
        </is>
      </c>
      <c r="H72" s="29" t="inlineStr">
        <is>
          <t>Stalled</t>
        </is>
      </c>
      <c r="I72" s="23" t="n">
        <v>72000</v>
      </c>
      <c r="J72" s="23" t="n">
        <v>0</v>
      </c>
      <c r="K72" s="23" t="n">
        <v>15</v>
      </c>
      <c r="L72" s="23" t="n">
        <v>15</v>
      </c>
      <c r="M72" s="23" t="n">
        <v>0</v>
      </c>
      <c r="N72" s="24" t="n">
        <v>1</v>
      </c>
      <c r="O72" s="24" t="n">
        <v>0</v>
      </c>
      <c r="P72" s="24" t="n">
        <v>68.40000000000001</v>
      </c>
      <c r="Q72" s="23" t="n">
        <v>0</v>
      </c>
      <c r="R72" s="25" t="inlineStr">
        <is>
          <t>Tinggi</t>
        </is>
      </c>
      <c r="S72" s="13" t="inlineStr">
        <is>
          <t>Menengah</t>
        </is>
      </c>
      <c r="T72" s="23" t="n">
        <v>0</v>
      </c>
      <c r="U72" s="23" t="n">
        <v>0</v>
      </c>
      <c r="V72" s="23" t="n">
        <v>0</v>
      </c>
      <c r="W72" s="23" t="n">
        <v>0</v>
      </c>
      <c r="X72" s="23" t="n">
        <v>0</v>
      </c>
      <c r="Y72" s="24" t="n">
        <v>0</v>
      </c>
      <c r="Z72" s="24" t="n">
        <v>0</v>
      </c>
      <c r="AA72" s="13" t="inlineStr">
        <is>
          <t>Tidak</t>
        </is>
      </c>
    </row>
    <row r="73">
      <c r="B73" s="10" t="inlineStr">
        <is>
          <t>Genba Multi Mineral</t>
        </is>
      </c>
      <c r="C73" s="10" t="inlineStr"/>
      <c r="D73" s="11" t="inlineStr">
        <is>
          <t>Sulawesi Tengah</t>
        </is>
      </c>
      <c r="E73" s="11" t="inlineStr">
        <is>
          <t>North Morowali Regency</t>
        </is>
      </c>
      <c r="F73" s="11" t="inlineStr">
        <is>
          <t>Unknown</t>
        </is>
      </c>
      <c r="G73" s="11" t="inlineStr">
        <is>
          <t>NPI</t>
        </is>
      </c>
      <c r="H73" s="29" t="inlineStr">
        <is>
          <t>Stalled</t>
        </is>
      </c>
      <c r="I73" s="20" t="n">
        <v>500000</v>
      </c>
      <c r="J73" s="20" t="n">
        <v>0</v>
      </c>
      <c r="K73" s="20" t="n">
        <v>700</v>
      </c>
      <c r="L73" s="20" t="n">
        <v>700</v>
      </c>
      <c r="M73" s="20" t="n">
        <v>0</v>
      </c>
      <c r="N73" s="21" t="n">
        <v>1</v>
      </c>
      <c r="O73" s="21" t="n">
        <v>0</v>
      </c>
      <c r="P73" s="21" t="n">
        <v>68.40000000000001</v>
      </c>
      <c r="Q73" s="20" t="n">
        <v>0</v>
      </c>
      <c r="R73" s="25" t="inlineStr">
        <is>
          <t>Tinggi</t>
        </is>
      </c>
      <c r="S73" s="11" t="inlineStr">
        <is>
          <t>Raksasa</t>
        </is>
      </c>
      <c r="T73" s="20" t="n">
        <v>0</v>
      </c>
      <c r="U73" s="20" t="n">
        <v>0</v>
      </c>
      <c r="V73" s="20" t="n">
        <v>0</v>
      </c>
      <c r="W73" s="20" t="n">
        <v>0</v>
      </c>
      <c r="X73" s="20" t="n">
        <v>0</v>
      </c>
      <c r="Y73" s="21" t="n">
        <v>-2.141</v>
      </c>
      <c r="Z73" s="21" t="n">
        <v>121.541</v>
      </c>
      <c r="AA73" s="11" t="inlineStr">
        <is>
          <t>Tidak</t>
        </is>
      </c>
    </row>
    <row r="74">
      <c r="B74" s="12" t="inlineStr">
        <is>
          <t>Artha Mining Industry</t>
        </is>
      </c>
      <c r="C74" s="12" t="inlineStr"/>
      <c r="D74" s="13" t="inlineStr">
        <is>
          <t>Sulawesi Tenggara</t>
        </is>
      </c>
      <c r="E74" s="13" t="inlineStr">
        <is>
          <t>Bombana Regency</t>
        </is>
      </c>
      <c r="F74" s="13" t="inlineStr">
        <is>
          <t>Unknown</t>
        </is>
      </c>
      <c r="G74" s="13" t="inlineStr">
        <is>
          <t>NPI</t>
        </is>
      </c>
      <c r="H74" s="29" t="inlineStr">
        <is>
          <t>Stalled</t>
        </is>
      </c>
      <c r="I74" s="23" t="n">
        <v>200000</v>
      </c>
      <c r="J74" s="23" t="n">
        <v>21500</v>
      </c>
      <c r="K74" s="23" t="n">
        <v>1</v>
      </c>
      <c r="L74" s="23" t="n">
        <v>0</v>
      </c>
      <c r="M74" s="23" t="n">
        <v>0</v>
      </c>
      <c r="N74" s="24" t="n">
        <v>0</v>
      </c>
      <c r="O74" s="24" t="n">
        <v>0</v>
      </c>
      <c r="P74" s="24" t="n">
        <v>68.40000000000001</v>
      </c>
      <c r="Q74" s="23" t="n">
        <v>1470600</v>
      </c>
      <c r="R74" s="25" t="inlineStr">
        <is>
          <t>Tinggi</t>
        </is>
      </c>
      <c r="S74" s="13" t="inlineStr">
        <is>
          <t>Besar</t>
        </is>
      </c>
      <c r="T74" s="23" t="n">
        <v>1985310</v>
      </c>
      <c r="U74" s="23" t="n">
        <v>1029420</v>
      </c>
      <c r="V74" s="23" t="n">
        <v>3088260</v>
      </c>
      <c r="W74" s="23" t="n">
        <v>73530</v>
      </c>
      <c r="X74" s="23" t="n">
        <v>0</v>
      </c>
      <c r="Y74" s="24" t="n">
        <v>-4.894</v>
      </c>
      <c r="Z74" s="24" t="n">
        <v>121.987</v>
      </c>
      <c r="AA74" s="13" t="inlineStr">
        <is>
          <t>Tidak</t>
        </is>
      </c>
    </row>
    <row r="75">
      <c r="B75" s="10" t="inlineStr">
        <is>
          <t>Anugrah Tambang Sejahtera</t>
        </is>
      </c>
      <c r="C75" s="10" t="inlineStr"/>
      <c r="D75" s="11" t="inlineStr">
        <is>
          <t>Sulawesi Tenggara</t>
        </is>
      </c>
      <c r="E75" s="11" t="inlineStr">
        <is>
          <t>Morowali Regency</t>
        </is>
      </c>
      <c r="F75" s="11" t="inlineStr">
        <is>
          <t>RKEF</t>
        </is>
      </c>
      <c r="G75" s="11" t="inlineStr">
        <is>
          <t>NPI</t>
        </is>
      </c>
      <c r="H75" s="29" t="inlineStr">
        <is>
          <t>Stalled</t>
        </is>
      </c>
      <c r="I75" s="20" t="n">
        <v>144000</v>
      </c>
      <c r="J75" s="20" t="n">
        <v>14400</v>
      </c>
      <c r="K75" s="20" t="n">
        <v>168</v>
      </c>
      <c r="L75" s="20" t="n">
        <v>0</v>
      </c>
      <c r="M75" s="20" t="n">
        <v>0</v>
      </c>
      <c r="N75" s="21" t="n">
        <v>0</v>
      </c>
      <c r="O75" s="21" t="n">
        <v>0</v>
      </c>
      <c r="P75" s="21" t="n">
        <v>68.40000000000001</v>
      </c>
      <c r="Q75" s="20" t="n">
        <v>984960</v>
      </c>
      <c r="R75" s="25" t="inlineStr">
        <is>
          <t>Tinggi</t>
        </is>
      </c>
      <c r="S75" s="11" t="inlineStr">
        <is>
          <t>Menengah</t>
        </is>
      </c>
      <c r="T75" s="20" t="n">
        <v>1329696</v>
      </c>
      <c r="U75" s="20" t="n">
        <v>689472</v>
      </c>
      <c r="V75" s="20" t="n">
        <v>2068416</v>
      </c>
      <c r="W75" s="20" t="n">
        <v>49248</v>
      </c>
      <c r="X75" s="20" t="n">
        <v>0</v>
      </c>
      <c r="Y75" s="21" t="n">
        <v>-3.017</v>
      </c>
      <c r="Z75" s="21" t="n">
        <v>122.234</v>
      </c>
      <c r="AA75" s="11" t="inlineStr">
        <is>
          <t>Tidak</t>
        </is>
      </c>
    </row>
    <row r="76">
      <c r="B76" s="12" t="inlineStr">
        <is>
          <t>Macika Mineral Industri</t>
        </is>
      </c>
      <c r="C76" s="12" t="inlineStr"/>
      <c r="D76" s="13" t="inlineStr">
        <is>
          <t>Sulawesi Tenggara</t>
        </is>
      </c>
      <c r="E76" s="13" t="inlineStr">
        <is>
          <t>South Konawe Regency</t>
        </is>
      </c>
      <c r="F76" s="13" t="inlineStr">
        <is>
          <t>RKEF</t>
        </is>
      </c>
      <c r="G76" s="13" t="inlineStr">
        <is>
          <t>NPI</t>
        </is>
      </c>
      <c r="H76" s="29" t="inlineStr">
        <is>
          <t>Stalled</t>
        </is>
      </c>
      <c r="I76" s="23" t="n">
        <v>93000</v>
      </c>
      <c r="J76" s="23" t="n">
        <v>0</v>
      </c>
      <c r="K76" s="23" t="n">
        <v>3</v>
      </c>
      <c r="L76" s="23" t="n">
        <v>0</v>
      </c>
      <c r="M76" s="23" t="n">
        <v>0</v>
      </c>
      <c r="N76" s="24" t="n">
        <v>0</v>
      </c>
      <c r="O76" s="24" t="n">
        <v>0</v>
      </c>
      <c r="P76" s="24" t="n">
        <v>68.40000000000001</v>
      </c>
      <c r="Q76" s="23" t="n">
        <v>0</v>
      </c>
      <c r="R76" s="25" t="inlineStr">
        <is>
          <t>Tinggi</t>
        </is>
      </c>
      <c r="S76" s="13" t="inlineStr">
        <is>
          <t>Menengah</t>
        </is>
      </c>
      <c r="T76" s="23" t="n">
        <v>0</v>
      </c>
      <c r="U76" s="23" t="n">
        <v>0</v>
      </c>
      <c r="V76" s="23" t="n">
        <v>0</v>
      </c>
      <c r="W76" s="23" t="n">
        <v>0</v>
      </c>
      <c r="X76" s="23" t="n">
        <v>0</v>
      </c>
      <c r="Y76" s="24" t="n">
        <v>-4.455</v>
      </c>
      <c r="Z76" s="24" t="n">
        <v>122.361</v>
      </c>
      <c r="AA76" s="13" t="inlineStr">
        <is>
          <t>Tidak</t>
        </is>
      </c>
    </row>
    <row r="77">
      <c r="B77" s="10" t="inlineStr">
        <is>
          <t>Sambas Minerals Mining</t>
        </is>
      </c>
      <c r="C77" s="10" t="inlineStr"/>
      <c r="D77" s="11" t="inlineStr">
        <is>
          <t>Sulawesi Tenggara</t>
        </is>
      </c>
      <c r="E77" s="11" t="inlineStr">
        <is>
          <t>South Konawe Regency</t>
        </is>
      </c>
      <c r="F77" s="11" t="inlineStr">
        <is>
          <t>RKEF</t>
        </is>
      </c>
      <c r="G77" s="11" t="inlineStr">
        <is>
          <t>NPI</t>
        </is>
      </c>
      <c r="H77" s="29" t="inlineStr">
        <is>
          <t>Stalled</t>
        </is>
      </c>
      <c r="I77" s="20" t="n">
        <v>104544</v>
      </c>
      <c r="J77" s="20" t="n">
        <v>0</v>
      </c>
      <c r="K77" s="20" t="n">
        <v>3</v>
      </c>
      <c r="L77" s="20" t="n">
        <v>0</v>
      </c>
      <c r="M77" s="20" t="n">
        <v>0</v>
      </c>
      <c r="N77" s="21" t="n">
        <v>0</v>
      </c>
      <c r="O77" s="21" t="n">
        <v>0</v>
      </c>
      <c r="P77" s="21" t="n">
        <v>68.40000000000001</v>
      </c>
      <c r="Q77" s="20" t="n">
        <v>0</v>
      </c>
      <c r="R77" s="25" t="inlineStr">
        <is>
          <t>Tinggi</t>
        </is>
      </c>
      <c r="S77" s="11" t="inlineStr">
        <is>
          <t>Menengah</t>
        </is>
      </c>
      <c r="T77" s="20" t="n">
        <v>0</v>
      </c>
      <c r="U77" s="20" t="n">
        <v>0</v>
      </c>
      <c r="V77" s="20" t="n">
        <v>0</v>
      </c>
      <c r="W77" s="20" t="n">
        <v>0</v>
      </c>
      <c r="X77" s="20" t="n">
        <v>0</v>
      </c>
      <c r="Y77" s="21" t="n">
        <v>-4.459</v>
      </c>
      <c r="Z77" s="21" t="n">
        <v>122.36</v>
      </c>
      <c r="AA77" s="11" t="inlineStr">
        <is>
          <t>Tidak</t>
        </is>
      </c>
    </row>
    <row r="78">
      <c r="B78" s="12" t="inlineStr">
        <is>
          <t>Asia Mining Minerals</t>
        </is>
      </c>
      <c r="C78" s="12" t="inlineStr"/>
      <c r="D78" s="13" t="inlineStr">
        <is>
          <t>Sulawesi Tenggara</t>
        </is>
      </c>
      <c r="E78" s="13" t="inlineStr">
        <is>
          <t>Kolaka Regency</t>
        </is>
      </c>
      <c r="F78" s="13" t="inlineStr">
        <is>
          <t>RKEF</t>
        </is>
      </c>
      <c r="G78" s="13" t="inlineStr">
        <is>
          <t>NPI</t>
        </is>
      </c>
      <c r="H78" s="29" t="inlineStr">
        <is>
          <t>Stalled</t>
        </is>
      </c>
      <c r="I78" s="23" t="n">
        <v>160712</v>
      </c>
      <c r="J78" s="23" t="n">
        <v>0</v>
      </c>
      <c r="K78" s="23" t="n">
        <v>25</v>
      </c>
      <c r="L78" s="23" t="n">
        <v>24</v>
      </c>
      <c r="M78" s="23" t="n">
        <v>0</v>
      </c>
      <c r="N78" s="24" t="n">
        <v>0.9409999999999999</v>
      </c>
      <c r="O78" s="24" t="n">
        <v>0</v>
      </c>
      <c r="P78" s="24" t="n">
        <v>68.40000000000001</v>
      </c>
      <c r="Q78" s="23" t="n">
        <v>0</v>
      </c>
      <c r="R78" s="25" t="inlineStr">
        <is>
          <t>Tinggi</t>
        </is>
      </c>
      <c r="S78" s="13" t="inlineStr">
        <is>
          <t>Besar</t>
        </is>
      </c>
      <c r="T78" s="23" t="n">
        <v>0</v>
      </c>
      <c r="U78" s="23" t="n">
        <v>0</v>
      </c>
      <c r="V78" s="23" t="n">
        <v>0</v>
      </c>
      <c r="W78" s="23" t="n">
        <v>0</v>
      </c>
      <c r="X78" s="23" t="n">
        <v>0</v>
      </c>
      <c r="Y78" s="24" t="n">
        <v>-4.282</v>
      </c>
      <c r="Z78" s="24" t="n">
        <v>121.58</v>
      </c>
      <c r="AA78" s="13" t="inlineStr">
        <is>
          <t>Tidak</t>
        </is>
      </c>
    </row>
    <row r="79">
      <c r="B79" s="10" t="inlineStr">
        <is>
          <t>Surya Saga Utama</t>
        </is>
      </c>
      <c r="C79" s="10" t="inlineStr"/>
      <c r="D79" s="11" t="inlineStr">
        <is>
          <t>Sulawesi Tenggara</t>
        </is>
      </c>
      <c r="E79" s="11" t="inlineStr">
        <is>
          <t>Bombana Regency</t>
        </is>
      </c>
      <c r="F79" s="11" t="inlineStr">
        <is>
          <t>Unknown</t>
        </is>
      </c>
      <c r="G79" s="11" t="inlineStr">
        <is>
          <t>FeNi</t>
        </is>
      </c>
      <c r="H79" s="29" t="inlineStr">
        <is>
          <t>Stalled</t>
        </is>
      </c>
      <c r="I79" s="20" t="n">
        <v>302506</v>
      </c>
      <c r="J79" s="20" t="n">
        <v>0</v>
      </c>
      <c r="K79" s="20" t="n">
        <v>40</v>
      </c>
      <c r="L79" s="20" t="n">
        <v>30</v>
      </c>
      <c r="M79" s="20" t="n">
        <v>0</v>
      </c>
      <c r="N79" s="21" t="n">
        <v>0.75</v>
      </c>
      <c r="O79" s="21" t="n">
        <v>0</v>
      </c>
      <c r="P79" s="21" t="n">
        <v>45</v>
      </c>
      <c r="Q79" s="20" t="n">
        <v>0</v>
      </c>
      <c r="R79" s="22" t="inlineStr">
        <is>
          <t>Sedang</t>
        </is>
      </c>
      <c r="S79" s="11" t="inlineStr">
        <is>
          <t>Raksasa</t>
        </is>
      </c>
      <c r="T79" s="20" t="n">
        <v>0</v>
      </c>
      <c r="U79" s="20" t="n">
        <v>0</v>
      </c>
      <c r="V79" s="20" t="n">
        <v>0</v>
      </c>
      <c r="W79" s="20" t="n">
        <v>0</v>
      </c>
      <c r="X79" s="20" t="n">
        <v>0</v>
      </c>
      <c r="Y79" s="21" t="n">
        <v>-5.121</v>
      </c>
      <c r="Z79" s="21" t="n">
        <v>121.883</v>
      </c>
      <c r="AA79" s="11" t="inlineStr">
        <is>
          <t>Tidak</t>
        </is>
      </c>
    </row>
    <row r="80">
      <c r="B80" s="12" t="inlineStr">
        <is>
          <t>Integra Mining Nusantara</t>
        </is>
      </c>
      <c r="C80" s="12" t="inlineStr"/>
      <c r="D80" s="13" t="inlineStr">
        <is>
          <t>Sulawesi Tenggara</t>
        </is>
      </c>
      <c r="E80" s="13" t="inlineStr">
        <is>
          <t>South Konawe Regency</t>
        </is>
      </c>
      <c r="F80" s="13" t="inlineStr">
        <is>
          <t>Unknown</t>
        </is>
      </c>
      <c r="G80" s="13" t="inlineStr">
        <is>
          <t>NPI</t>
        </is>
      </c>
      <c r="H80" s="29" t="inlineStr">
        <is>
          <t>Stalled</t>
        </is>
      </c>
      <c r="I80" s="23" t="n">
        <v>285220</v>
      </c>
      <c r="J80" s="23" t="n">
        <v>0</v>
      </c>
      <c r="K80" s="23" t="n">
        <v>4</v>
      </c>
      <c r="L80" s="23" t="n">
        <v>0</v>
      </c>
      <c r="M80" s="23" t="n">
        <v>0</v>
      </c>
      <c r="N80" s="24" t="n">
        <v>0</v>
      </c>
      <c r="O80" s="24" t="n">
        <v>0</v>
      </c>
      <c r="P80" s="24" t="n">
        <v>68.40000000000001</v>
      </c>
      <c r="Q80" s="23" t="n">
        <v>0</v>
      </c>
      <c r="R80" s="25" t="inlineStr">
        <is>
          <t>Tinggi</t>
        </is>
      </c>
      <c r="S80" s="13" t="inlineStr">
        <is>
          <t>Besar</t>
        </is>
      </c>
      <c r="T80" s="23" t="n">
        <v>0</v>
      </c>
      <c r="U80" s="23" t="n">
        <v>0</v>
      </c>
      <c r="V80" s="23" t="n">
        <v>0</v>
      </c>
      <c r="W80" s="23" t="n">
        <v>0</v>
      </c>
      <c r="X80" s="23" t="n">
        <v>0</v>
      </c>
      <c r="Y80" s="24" t="n">
        <v>-4.438</v>
      </c>
      <c r="Z80" s="24" t="n">
        <v>122.485</v>
      </c>
      <c r="AA80" s="13" t="inlineStr">
        <is>
          <t>Tidak</t>
        </is>
      </c>
    </row>
    <row r="81">
      <c r="B81" s="10" t="inlineStr">
        <is>
          <t>Kinlin Nickel Industri</t>
        </is>
      </c>
      <c r="C81" s="10" t="inlineStr"/>
      <c r="D81" s="11" t="inlineStr">
        <is>
          <t>Sulawesi Tenggara</t>
        </is>
      </c>
      <c r="E81" s="11" t="inlineStr">
        <is>
          <t>South Konawe Regency</t>
        </is>
      </c>
      <c r="F81" s="11" t="inlineStr">
        <is>
          <t>Unknown</t>
        </is>
      </c>
      <c r="G81" s="11" t="inlineStr">
        <is>
          <t>NPI</t>
        </is>
      </c>
      <c r="H81" s="29" t="inlineStr">
        <is>
          <t>Stalled</t>
        </is>
      </c>
      <c r="I81" s="20" t="n">
        <v>17000</v>
      </c>
      <c r="J81" s="20" t="n">
        <v>0</v>
      </c>
      <c r="K81" s="20" t="n">
        <v>4</v>
      </c>
      <c r="L81" s="20" t="n">
        <v>2</v>
      </c>
      <c r="M81" s="20" t="n">
        <v>0</v>
      </c>
      <c r="N81" s="21" t="n">
        <v>0.5</v>
      </c>
      <c r="O81" s="21" t="n">
        <v>0</v>
      </c>
      <c r="P81" s="21" t="n">
        <v>68.40000000000001</v>
      </c>
      <c r="Q81" s="20" t="n">
        <v>0</v>
      </c>
      <c r="R81" s="25" t="inlineStr">
        <is>
          <t>Tinggi</t>
        </is>
      </c>
      <c r="S81" s="11" t="inlineStr">
        <is>
          <t>Kecil</t>
        </is>
      </c>
      <c r="T81" s="20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1" t="n">
        <v>-4.457</v>
      </c>
      <c r="Z81" s="21" t="n">
        <v>122.353</v>
      </c>
      <c r="AA81" s="11" t="inlineStr">
        <is>
          <t>Tidak</t>
        </is>
      </c>
    </row>
    <row r="82">
      <c r="B82" s="12" t="inlineStr">
        <is>
          <t>Mahkota Konaweeha</t>
        </is>
      </c>
      <c r="C82" s="12" t="inlineStr"/>
      <c r="D82" s="13" t="inlineStr">
        <is>
          <t>Sulawesi Tenggara</t>
        </is>
      </c>
      <c r="E82" s="13" t="inlineStr">
        <is>
          <t>Kendari City</t>
        </is>
      </c>
      <c r="F82" s="13" t="inlineStr">
        <is>
          <t>Unknown</t>
        </is>
      </c>
      <c r="G82" s="13" t="inlineStr">
        <is>
          <t>NPI</t>
        </is>
      </c>
      <c r="H82" s="29" t="inlineStr">
        <is>
          <t>Stalled</t>
        </is>
      </c>
      <c r="I82" s="23" t="n">
        <v>62000</v>
      </c>
      <c r="J82" s="23" t="n">
        <v>0</v>
      </c>
      <c r="K82" s="23" t="n">
        <v>3</v>
      </c>
      <c r="L82" s="23" t="n">
        <v>0</v>
      </c>
      <c r="M82" s="23" t="n">
        <v>0</v>
      </c>
      <c r="N82" s="24" t="n">
        <v>0</v>
      </c>
      <c r="O82" s="24" t="n">
        <v>0</v>
      </c>
      <c r="P82" s="24" t="n">
        <v>68.40000000000001</v>
      </c>
      <c r="Q82" s="23" t="n">
        <v>0</v>
      </c>
      <c r="R82" s="25" t="inlineStr">
        <is>
          <t>Tinggi</t>
        </is>
      </c>
      <c r="S82" s="13" t="inlineStr">
        <is>
          <t>Menengah</t>
        </is>
      </c>
      <c r="T82" s="23" t="n">
        <v>0</v>
      </c>
      <c r="U82" s="23" t="n">
        <v>0</v>
      </c>
      <c r="V82" s="23" t="n">
        <v>0</v>
      </c>
      <c r="W82" s="23" t="n">
        <v>0</v>
      </c>
      <c r="X82" s="23" t="n">
        <v>0</v>
      </c>
      <c r="Y82" s="24" t="n">
        <v>-4.006</v>
      </c>
      <c r="Z82" s="24" t="n">
        <v>122.637</v>
      </c>
      <c r="AA82" s="13" t="inlineStr">
        <is>
          <t>Tidak</t>
        </is>
      </c>
    </row>
    <row r="83">
      <c r="B83" s="10" t="inlineStr">
        <is>
          <t>PT Sungai Raya Nickel Alloy Indonesia</t>
        </is>
      </c>
      <c r="C83" s="10" t="inlineStr"/>
      <c r="D83" s="11" t="inlineStr">
        <is>
          <t>Sulawesi Tenggara</t>
        </is>
      </c>
      <c r="E83" s="11" t="inlineStr">
        <is>
          <t>South Konawe Regency</t>
        </is>
      </c>
      <c r="F83" s="11" t="inlineStr">
        <is>
          <t>Unknown</t>
        </is>
      </c>
      <c r="G83" s="11" t="inlineStr">
        <is>
          <t>NPI</t>
        </is>
      </c>
      <c r="H83" s="29" t="inlineStr">
        <is>
          <t>Stalled</t>
        </is>
      </c>
      <c r="I83" s="20" t="n">
        <v>650000</v>
      </c>
      <c r="J83" s="20" t="n">
        <v>0</v>
      </c>
      <c r="K83" s="20" t="n">
        <v>0</v>
      </c>
      <c r="L83" s="20" t="n">
        <v>0</v>
      </c>
      <c r="M83" s="20" t="n">
        <v>0</v>
      </c>
      <c r="N83" s="21" t="n">
        <v>0</v>
      </c>
      <c r="O83" s="21" t="n">
        <v>0</v>
      </c>
      <c r="P83" s="21" t="n">
        <v>68.40000000000001</v>
      </c>
      <c r="Q83" s="20" t="n">
        <v>0</v>
      </c>
      <c r="R83" s="25" t="inlineStr">
        <is>
          <t>Tinggi</t>
        </is>
      </c>
      <c r="S83" s="11" t="inlineStr">
        <is>
          <t>Raksasa</t>
        </is>
      </c>
      <c r="T83" s="20" t="n">
        <v>0</v>
      </c>
      <c r="U83" s="20" t="n">
        <v>0</v>
      </c>
      <c r="V83" s="20" t="n">
        <v>0</v>
      </c>
      <c r="W83" s="20" t="n">
        <v>0</v>
      </c>
      <c r="X83" s="20" t="n">
        <v>0</v>
      </c>
      <c r="Y83" s="21" t="n">
        <v>-4.162</v>
      </c>
      <c r="Z83" s="21" t="n">
        <v>122.679</v>
      </c>
      <c r="AA83" s="11" t="inlineStr">
        <is>
          <t>Tidak</t>
        </is>
      </c>
    </row>
    <row r="84">
      <c r="B84" s="12" t="inlineStr">
        <is>
          <t>PT MBG Nikel Indonesia</t>
        </is>
      </c>
      <c r="C84" s="12" t="inlineStr"/>
      <c r="D84" s="13" t="inlineStr">
        <is>
          <t>Sulawesi Tenggara</t>
        </is>
      </c>
      <c r="E84" s="13" t="inlineStr">
        <is>
          <t>North Konawe Regency</t>
        </is>
      </c>
      <c r="F84" s="13" t="inlineStr">
        <is>
          <t>Unknown</t>
        </is>
      </c>
      <c r="G84" s="13" t="inlineStr">
        <is>
          <t>MHP</t>
        </is>
      </c>
      <c r="H84" s="29" t="inlineStr">
        <is>
          <t>Stalled</t>
        </is>
      </c>
      <c r="I84" s="23" t="n">
        <v>34700</v>
      </c>
      <c r="J84" s="23" t="n">
        <v>0</v>
      </c>
      <c r="K84" s="23" t="n">
        <v>0</v>
      </c>
      <c r="L84" s="23" t="n">
        <v>0</v>
      </c>
      <c r="M84" s="23" t="n">
        <v>0</v>
      </c>
      <c r="N84" s="24" t="n">
        <v>0</v>
      </c>
      <c r="O84" s="24" t="n">
        <v>0</v>
      </c>
      <c r="P84" s="24" t="n">
        <v>10.5</v>
      </c>
      <c r="Q84" s="23" t="n">
        <v>0</v>
      </c>
      <c r="R84" s="19" t="inlineStr">
        <is>
          <t>Rendah</t>
        </is>
      </c>
      <c r="S84" s="13" t="inlineStr">
        <is>
          <t>Kecil</t>
        </is>
      </c>
      <c r="T84" s="23" t="n">
        <v>0</v>
      </c>
      <c r="U84" s="23" t="n">
        <v>0</v>
      </c>
      <c r="V84" s="23" t="n">
        <v>0</v>
      </c>
      <c r="W84" s="23" t="n">
        <v>0</v>
      </c>
      <c r="X84" s="23" t="n">
        <v>0</v>
      </c>
      <c r="Y84" s="24" t="n">
        <v>0</v>
      </c>
      <c r="Z84" s="24" t="n">
        <v>0</v>
      </c>
      <c r="AA84" s="13" t="inlineStr">
        <is>
          <t>Tidak</t>
        </is>
      </c>
    </row>
    <row r="85">
      <c r="B85" s="10" t="inlineStr">
        <is>
          <t>Antam HKBCL HPAL</t>
        </is>
      </c>
      <c r="C85" s="10" t="inlineStr">
        <is>
          <t>Kawasan Industri Buli</t>
        </is>
      </c>
      <c r="D85" s="11" t="inlineStr">
        <is>
          <t>Maluku Utara</t>
        </is>
      </c>
      <c r="E85" s="11" t="inlineStr">
        <is>
          <t>East Halmahera Regency</t>
        </is>
      </c>
      <c r="F85" s="11" t="inlineStr">
        <is>
          <t>HPAL</t>
        </is>
      </c>
      <c r="G85" s="11" t="inlineStr">
        <is>
          <t>MHP</t>
        </is>
      </c>
      <c r="H85" s="30" t="inlineStr">
        <is>
          <t>Planned</t>
        </is>
      </c>
      <c r="I85" s="20" t="n">
        <v>0</v>
      </c>
      <c r="J85" s="20" t="n">
        <v>55000</v>
      </c>
      <c r="K85" s="20" t="n">
        <v>0</v>
      </c>
      <c r="L85" s="20" t="n">
        <v>0</v>
      </c>
      <c r="M85" s="20" t="n">
        <v>0</v>
      </c>
      <c r="N85" s="21" t="n">
        <v>0</v>
      </c>
      <c r="O85" s="21" t="n">
        <v>0</v>
      </c>
      <c r="P85" s="21" t="n">
        <v>10.5</v>
      </c>
      <c r="Q85" s="20" t="n">
        <v>577500</v>
      </c>
      <c r="R85" s="19" t="inlineStr">
        <is>
          <t>Rendah</t>
        </is>
      </c>
      <c r="S85" s="11" t="inlineStr">
        <is>
          <t>Kecil</t>
        </is>
      </c>
      <c r="T85" s="20" t="n">
        <v>779625</v>
      </c>
      <c r="U85" s="20" t="n">
        <v>404250</v>
      </c>
      <c r="V85" s="20" t="n">
        <v>1212750</v>
      </c>
      <c r="W85" s="20" t="n">
        <v>28875</v>
      </c>
      <c r="X85" s="20" t="n">
        <v>0</v>
      </c>
      <c r="Y85" s="21" t="n">
        <v>0.843</v>
      </c>
      <c r="Z85" s="21" t="n">
        <v>128.249</v>
      </c>
      <c r="AA85" s="11" t="inlineStr">
        <is>
          <t>Tidak</t>
        </is>
      </c>
    </row>
    <row r="86">
      <c r="B86" s="12" t="inlineStr">
        <is>
          <t>CORII RKEF</t>
        </is>
      </c>
      <c r="C86" s="12" t="inlineStr"/>
      <c r="D86" s="13" t="inlineStr">
        <is>
          <t>Sulawesi Tengah</t>
        </is>
      </c>
      <c r="E86" s="13" t="inlineStr">
        <is>
          <t>Morowali Regency</t>
        </is>
      </c>
      <c r="F86" s="13" t="inlineStr">
        <is>
          <t>RKEF</t>
        </is>
      </c>
      <c r="G86" s="13" t="inlineStr">
        <is>
          <t>FeNi</t>
        </is>
      </c>
      <c r="H86" s="30" t="inlineStr">
        <is>
          <t>Planned</t>
        </is>
      </c>
      <c r="I86" s="23" t="n">
        <v>200000</v>
      </c>
      <c r="J86" s="23" t="n">
        <v>20000</v>
      </c>
      <c r="K86" s="23" t="n">
        <v>0</v>
      </c>
      <c r="L86" s="23" t="n">
        <v>0</v>
      </c>
      <c r="M86" s="23" t="n">
        <v>0</v>
      </c>
      <c r="N86" s="24" t="n">
        <v>0</v>
      </c>
      <c r="O86" s="24" t="n">
        <v>0</v>
      </c>
      <c r="P86" s="24" t="n">
        <v>45</v>
      </c>
      <c r="Q86" s="23" t="n">
        <v>900000</v>
      </c>
      <c r="R86" s="22" t="inlineStr">
        <is>
          <t>Sedang</t>
        </is>
      </c>
      <c r="S86" s="13" t="inlineStr">
        <is>
          <t>Besar</t>
        </is>
      </c>
      <c r="T86" s="23" t="n">
        <v>1215000</v>
      </c>
      <c r="U86" s="23" t="n">
        <v>630000</v>
      </c>
      <c r="V86" s="23" t="n">
        <v>1890000</v>
      </c>
      <c r="W86" s="23" t="n">
        <v>45000</v>
      </c>
      <c r="X86" s="23" t="n">
        <v>0</v>
      </c>
      <c r="Y86" s="24" t="n">
        <v>-1.939</v>
      </c>
      <c r="Z86" s="24" t="n">
        <v>121.32</v>
      </c>
      <c r="AA86" s="13" t="inlineStr">
        <is>
          <t>Ya</t>
        </is>
      </c>
    </row>
    <row r="87">
      <c r="B87" s="10" t="inlineStr">
        <is>
          <t>Fajar Bhakti Lintas Nusantara</t>
        </is>
      </c>
      <c r="C87" s="10" t="inlineStr"/>
      <c r="D87" s="11" t="inlineStr">
        <is>
          <t>Maluku Utara</t>
        </is>
      </c>
      <c r="E87" s="11" t="inlineStr">
        <is>
          <t>Central Halmahera Regency</t>
        </is>
      </c>
      <c r="F87" s="11" t="inlineStr">
        <is>
          <t>BF</t>
        </is>
      </c>
      <c r="G87" s="11" t="inlineStr">
        <is>
          <t>NPI</t>
        </is>
      </c>
      <c r="H87" s="31" t="inlineStr">
        <is>
          <t>No longer operational</t>
        </is>
      </c>
      <c r="I87" s="20" t="n">
        <v>120000</v>
      </c>
      <c r="J87" s="20" t="n">
        <v>0</v>
      </c>
      <c r="K87" s="20" t="n">
        <v>300</v>
      </c>
      <c r="L87" s="20" t="n">
        <v>300</v>
      </c>
      <c r="M87" s="20" t="n">
        <v>0</v>
      </c>
      <c r="N87" s="21" t="n">
        <v>1</v>
      </c>
      <c r="O87" s="21" t="n">
        <v>0</v>
      </c>
      <c r="P87" s="21" t="n">
        <v>68.40000000000001</v>
      </c>
      <c r="Q87" s="20" t="n">
        <v>0</v>
      </c>
      <c r="R87" s="25" t="inlineStr">
        <is>
          <t>Tinggi</t>
        </is>
      </c>
      <c r="S87" s="11" t="inlineStr">
        <is>
          <t>Menengah</t>
        </is>
      </c>
      <c r="T87" s="20" t="n">
        <v>0</v>
      </c>
      <c r="U87" s="20" t="n">
        <v>0</v>
      </c>
      <c r="V87" s="20" t="n">
        <v>0</v>
      </c>
      <c r="W87" s="20" t="n">
        <v>0</v>
      </c>
      <c r="X87" s="20" t="n">
        <v>0</v>
      </c>
      <c r="Y87" s="21" t="n">
        <v>-0.07000000000000001</v>
      </c>
      <c r="Z87" s="21" t="n">
        <v>129.392</v>
      </c>
      <c r="AA87" s="11" t="inlineStr">
        <is>
          <t>Tidak</t>
        </is>
      </c>
    </row>
    <row r="88">
      <c r="B88" s="12" t="inlineStr">
        <is>
          <t>CORII BF</t>
        </is>
      </c>
      <c r="C88" s="12" t="inlineStr"/>
      <c r="D88" s="13" t="inlineStr">
        <is>
          <t>Sulawesi Tengah</t>
        </is>
      </c>
      <c r="E88" s="13" t="inlineStr">
        <is>
          <t>Morowali Regency</t>
        </is>
      </c>
      <c r="F88" s="13" t="inlineStr">
        <is>
          <t>BF</t>
        </is>
      </c>
      <c r="G88" s="13" t="inlineStr">
        <is>
          <t>NPI</t>
        </is>
      </c>
      <c r="H88" s="31" t="inlineStr">
        <is>
          <t>No longer operational</t>
        </is>
      </c>
      <c r="I88" s="23" t="n">
        <v>100000</v>
      </c>
      <c r="J88" s="23" t="n">
        <v>8000</v>
      </c>
      <c r="K88" s="23" t="n">
        <v>15</v>
      </c>
      <c r="L88" s="23" t="n">
        <v>15</v>
      </c>
      <c r="M88" s="23" t="n">
        <v>0</v>
      </c>
      <c r="N88" s="24" t="n">
        <v>1</v>
      </c>
      <c r="O88" s="24" t="n">
        <v>0</v>
      </c>
      <c r="P88" s="24" t="n">
        <v>68.40000000000001</v>
      </c>
      <c r="Q88" s="23" t="n">
        <v>547200</v>
      </c>
      <c r="R88" s="25" t="inlineStr">
        <is>
          <t>Tinggi</t>
        </is>
      </c>
      <c r="S88" s="13" t="inlineStr">
        <is>
          <t>Menengah</t>
        </is>
      </c>
      <c r="T88" s="23" t="n">
        <v>738720</v>
      </c>
      <c r="U88" s="23" t="n">
        <v>383040</v>
      </c>
      <c r="V88" s="23" t="n">
        <v>1149120</v>
      </c>
      <c r="W88" s="23" t="n">
        <v>27360</v>
      </c>
      <c r="X88" s="23" t="n">
        <v>465120</v>
      </c>
      <c r="Y88" s="24" t="n">
        <v>-1.939</v>
      </c>
      <c r="Z88" s="24" t="n">
        <v>121.32</v>
      </c>
      <c r="AA88" s="13" t="inlineStr">
        <is>
          <t>Ya</t>
        </is>
      </c>
    </row>
    <row r="89">
      <c r="B89" s="10" t="inlineStr">
        <is>
          <t>Bintang Smelter Indonesia</t>
        </is>
      </c>
      <c r="C89" s="10" t="inlineStr"/>
      <c r="D89" s="11" t="inlineStr">
        <is>
          <t>Sulawesi Tenggara</t>
        </is>
      </c>
      <c r="E89" s="11" t="inlineStr">
        <is>
          <t>South Konawe Regency</t>
        </is>
      </c>
      <c r="F89" s="11" t="inlineStr">
        <is>
          <t>BF</t>
        </is>
      </c>
      <c r="G89" s="11" t="inlineStr">
        <is>
          <t>NPI</t>
        </is>
      </c>
      <c r="H89" s="31" t="inlineStr">
        <is>
          <t>No longer operational</t>
        </is>
      </c>
      <c r="I89" s="20" t="n">
        <v>40000</v>
      </c>
      <c r="J89" s="20" t="n">
        <v>0</v>
      </c>
      <c r="K89" s="20" t="n">
        <v>107</v>
      </c>
      <c r="L89" s="20" t="n">
        <v>0</v>
      </c>
      <c r="M89" s="20" t="n">
        <v>0</v>
      </c>
      <c r="N89" s="21" t="n">
        <v>0</v>
      </c>
      <c r="O89" s="21" t="n">
        <v>0</v>
      </c>
      <c r="P89" s="21" t="n">
        <v>68.40000000000001</v>
      </c>
      <c r="Q89" s="20" t="n">
        <v>0</v>
      </c>
      <c r="R89" s="25" t="inlineStr">
        <is>
          <t>Tinggi</t>
        </is>
      </c>
      <c r="S89" s="11" t="inlineStr">
        <is>
          <t>Kecil</t>
        </is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v>0</v>
      </c>
      <c r="Y89" s="21" t="n">
        <v>-4.401</v>
      </c>
      <c r="Z89" s="21" t="n">
        <v>122.199</v>
      </c>
      <c r="AA89" s="11" t="inlineStr">
        <is>
          <t>Tidak</t>
        </is>
      </c>
    </row>
    <row r="92">
      <c r="B92" s="32" t="inlineStr">
        <is>
          <t>Sumber: CGS Nickel Smelter Dataset V1 (2025) | IEEFA GHG Benchmark (Oct 2024) | Generated: 2026-05-11</t>
        </is>
      </c>
    </row>
  </sheetData>
  <autoFilter ref="B2:AA2"/>
  <mergeCells count="1">
    <mergeCell ref="B1:Z1"/>
  </mergeCells>
  <conditionalFormatting sqref="P3:P8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3:Q89">
    <cfRule type="dataBar" priority="2">
      <dataBar>
        <cfvo type="min"/>
        <cfvo type="max"/>
        <color rgb="004472C4"/>
      </dataBar>
    </cfRule>
  </conditionalFormatting>
  <conditionalFormatting sqref="L3:L89">
    <cfRule type="dataBar" priority="3">
      <dataBar>
        <cfvo type="min"/>
        <cfvo type="max"/>
        <color rgb="00F8696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5" customWidth="1" min="3" max="3"/>
    <col width="15" customWidth="1" min="4" max="4"/>
    <col width="15" customWidth="1" min="5" max="5"/>
  </cols>
  <sheetData>
    <row r="1" ht="30" customHeight="1">
      <c r="B1" s="1" t="inlineStr">
        <is>
          <t>PROYEKSI EMISI NASIONAL — BAU vs NZE vs JETP (2020–2050)</t>
        </is>
      </c>
    </row>
    <row r="2" ht="22" customHeight="1">
      <c r="B2" s="33" t="inlineStr">
        <is>
          <t>Baseline 2025: 60.0 MtCO₂/thn (49 operating smelters, CGS V1). BAU=+3.5%/thn; NZE=−6%/thn; JETP=−4.5%/thn mulai 2026.</t>
        </is>
      </c>
    </row>
    <row r="3" ht="30" customHeight="1">
      <c r="B3" s="9" t="inlineStr">
        <is>
          <t>Tahun</t>
        </is>
      </c>
      <c r="C3" s="9" t="inlineStr">
        <is>
          <t>BAU (MtCO₂)</t>
        </is>
      </c>
      <c r="D3" s="9" t="inlineStr">
        <is>
          <t>NZE (MtCO₂)</t>
        </is>
      </c>
      <c r="E3" s="9" t="inlineStr">
        <is>
          <t>JETP (MtCO₂)</t>
        </is>
      </c>
    </row>
    <row r="4">
      <c r="B4" s="34" t="n">
        <v>2020</v>
      </c>
    </row>
  </sheetData>
  <mergeCells count="2">
    <mergeCell ref="B1:N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5" customWidth="1" min="3" max="3"/>
    <col width="15" customWidth="1" min="4" max="4"/>
    <col width="15" customWidth="1" min="5" max="5"/>
  </cols>
  <sheetData>
    <row r="1" ht="30" customHeight="1">
      <c r="B1" s="1" t="inlineStr">
        <is>
          <t>PROYEKSI EMISI NASIONAL — BAU vs NZE vs JETP (2020–2050)</t>
        </is>
      </c>
    </row>
    <row r="2" ht="22" customHeight="1">
      <c r="B2" s="33" t="inlineStr">
        <is>
          <t>Baseline 2025: 60.0 MtCO₂/thn (49 operating smelters, CGS V1). BAU=+3.5%/thn; NZE=−6%/thn; JETP=−4.5%/thn mulai 2026.</t>
        </is>
      </c>
    </row>
    <row r="3" ht="30" customHeight="1">
      <c r="B3" s="9" t="inlineStr">
        <is>
          <t>Tahun</t>
        </is>
      </c>
      <c r="C3" s="9" t="inlineStr">
        <is>
          <t>BAU (MtCO₂)</t>
        </is>
      </c>
      <c r="D3" s="9" t="inlineStr">
        <is>
          <t>NZE (MtCO₂)</t>
        </is>
      </c>
      <c r="E3" s="9" t="inlineStr">
        <is>
          <t>JETP (MtCO₂)</t>
        </is>
      </c>
    </row>
    <row r="4">
      <c r="B4" s="35" t="n">
        <v>2020</v>
      </c>
      <c r="C4" s="36" t="n">
        <v>54.23</v>
      </c>
      <c r="D4" s="36" t="n">
        <v>59.99</v>
      </c>
      <c r="E4" s="36" t="n">
        <v>59.99</v>
      </c>
    </row>
    <row r="5">
      <c r="B5" s="37" t="n">
        <v>2021</v>
      </c>
      <c r="C5" s="38" t="n">
        <v>55.34</v>
      </c>
      <c r="D5" s="38" t="n">
        <v>59.99</v>
      </c>
      <c r="E5" s="38" t="n">
        <v>59.99</v>
      </c>
    </row>
    <row r="6">
      <c r="B6" s="35" t="n">
        <v>2022</v>
      </c>
      <c r="C6" s="36" t="n">
        <v>56.47</v>
      </c>
      <c r="D6" s="36" t="n">
        <v>59.99</v>
      </c>
      <c r="E6" s="36" t="n">
        <v>59.99</v>
      </c>
    </row>
    <row r="7">
      <c r="B7" s="37" t="n">
        <v>2023</v>
      </c>
      <c r="C7" s="38" t="n">
        <v>57.62</v>
      </c>
      <c r="D7" s="38" t="n">
        <v>59.99</v>
      </c>
      <c r="E7" s="38" t="n">
        <v>59.99</v>
      </c>
    </row>
    <row r="8">
      <c r="B8" s="35" t="n">
        <v>2024</v>
      </c>
      <c r="C8" s="36" t="n">
        <v>58.79</v>
      </c>
      <c r="D8" s="36" t="n">
        <v>59.99</v>
      </c>
      <c r="E8" s="36" t="n">
        <v>59.99</v>
      </c>
    </row>
    <row r="9">
      <c r="B9" s="39" t="n">
        <v>2025</v>
      </c>
      <c r="C9" s="40" t="n">
        <v>59.99</v>
      </c>
      <c r="D9" s="40" t="n">
        <v>59.99</v>
      </c>
      <c r="E9" s="40" t="n">
        <v>59.99</v>
      </c>
    </row>
    <row r="10">
      <c r="B10" s="35" t="n">
        <v>2026</v>
      </c>
      <c r="C10" s="36" t="n">
        <v>62.09</v>
      </c>
      <c r="D10" s="36" t="n">
        <v>56.4</v>
      </c>
      <c r="E10" s="36" t="n">
        <v>57.3</v>
      </c>
    </row>
    <row r="11">
      <c r="B11" s="37" t="n">
        <v>2027</v>
      </c>
      <c r="C11" s="38" t="n">
        <v>64.27</v>
      </c>
      <c r="D11" s="38" t="n">
        <v>52.8</v>
      </c>
      <c r="E11" s="38" t="n">
        <v>54.6</v>
      </c>
    </row>
    <row r="12">
      <c r="B12" s="35" t="n">
        <v>2028</v>
      </c>
      <c r="C12" s="36" t="n">
        <v>66.52</v>
      </c>
      <c r="D12" s="36" t="n">
        <v>49.2</v>
      </c>
      <c r="E12" s="36" t="n">
        <v>51.9</v>
      </c>
    </row>
    <row r="13">
      <c r="B13" s="37" t="n">
        <v>2029</v>
      </c>
      <c r="C13" s="38" t="n">
        <v>68.84999999999999</v>
      </c>
      <c r="D13" s="38" t="n">
        <v>45.6</v>
      </c>
      <c r="E13" s="38" t="n">
        <v>49.2</v>
      </c>
    </row>
    <row r="14">
      <c r="B14" s="39" t="n">
        <v>2030</v>
      </c>
      <c r="C14" s="40" t="n">
        <v>71.26000000000001</v>
      </c>
      <c r="D14" s="40" t="n">
        <v>42</v>
      </c>
      <c r="E14" s="40" t="n">
        <v>46.5</v>
      </c>
    </row>
    <row r="15">
      <c r="B15" s="37" t="n">
        <v>2031</v>
      </c>
      <c r="C15" s="38" t="n">
        <v>73.75</v>
      </c>
      <c r="D15" s="38" t="n">
        <v>38.4</v>
      </c>
      <c r="E15" s="38" t="n">
        <v>43.8</v>
      </c>
    </row>
    <row r="16">
      <c r="B16" s="35" t="n">
        <v>2032</v>
      </c>
      <c r="C16" s="36" t="n">
        <v>76.33</v>
      </c>
      <c r="D16" s="36" t="n">
        <v>34.8</v>
      </c>
      <c r="E16" s="36" t="n">
        <v>41.1</v>
      </c>
    </row>
    <row r="17">
      <c r="B17" s="37" t="n">
        <v>2033</v>
      </c>
      <c r="C17" s="38" t="n">
        <v>79</v>
      </c>
      <c r="D17" s="38" t="n">
        <v>31.2</v>
      </c>
      <c r="E17" s="38" t="n">
        <v>38.4</v>
      </c>
    </row>
    <row r="18">
      <c r="B18" s="35" t="n">
        <v>2034</v>
      </c>
      <c r="C18" s="36" t="n">
        <v>81.77</v>
      </c>
      <c r="D18" s="36" t="n">
        <v>27.6</v>
      </c>
      <c r="E18" s="36" t="n">
        <v>35.7</v>
      </c>
    </row>
    <row r="19">
      <c r="B19" s="37" t="n">
        <v>2035</v>
      </c>
      <c r="C19" s="38" t="n">
        <v>84.63</v>
      </c>
      <c r="D19" s="38" t="n">
        <v>24</v>
      </c>
      <c r="E19" s="38" t="n">
        <v>33</v>
      </c>
    </row>
    <row r="20">
      <c r="B20" s="35" t="n">
        <v>2036</v>
      </c>
      <c r="C20" s="36" t="n">
        <v>87.59</v>
      </c>
      <c r="D20" s="36" t="n">
        <v>20.4</v>
      </c>
      <c r="E20" s="36" t="n">
        <v>30.3</v>
      </c>
    </row>
    <row r="21">
      <c r="B21" s="37" t="n">
        <v>2037</v>
      </c>
      <c r="C21" s="38" t="n">
        <v>90.66</v>
      </c>
      <c r="D21" s="38" t="n">
        <v>16.8</v>
      </c>
      <c r="E21" s="38" t="n">
        <v>27.6</v>
      </c>
    </row>
    <row r="22">
      <c r="B22" s="35" t="n">
        <v>2038</v>
      </c>
      <c r="C22" s="36" t="n">
        <v>93.83</v>
      </c>
      <c r="D22" s="36" t="n">
        <v>13.2</v>
      </c>
      <c r="E22" s="36" t="n">
        <v>24.9</v>
      </c>
    </row>
    <row r="23">
      <c r="B23" s="37" t="n">
        <v>2039</v>
      </c>
      <c r="C23" s="38" t="n">
        <v>97.11</v>
      </c>
      <c r="D23" s="38" t="n">
        <v>9.6</v>
      </c>
      <c r="E23" s="38" t="n">
        <v>22.2</v>
      </c>
    </row>
    <row r="24">
      <c r="B24" s="39" t="n">
        <v>2040</v>
      </c>
      <c r="C24" s="40" t="n">
        <v>100.51</v>
      </c>
      <c r="D24" s="40" t="n">
        <v>6</v>
      </c>
      <c r="E24" s="40" t="n">
        <v>19.5</v>
      </c>
    </row>
    <row r="25">
      <c r="B25" s="37" t="n">
        <v>2041</v>
      </c>
      <c r="C25" s="38" t="n">
        <v>104.03</v>
      </c>
      <c r="D25" s="38" t="n">
        <v>3</v>
      </c>
      <c r="E25" s="38" t="n">
        <v>16.8</v>
      </c>
    </row>
    <row r="26">
      <c r="B26" s="35" t="n">
        <v>2042</v>
      </c>
      <c r="C26" s="36" t="n">
        <v>107.67</v>
      </c>
      <c r="D26" s="36" t="n">
        <v>3</v>
      </c>
      <c r="E26" s="36" t="n">
        <v>14.1</v>
      </c>
    </row>
    <row r="27">
      <c r="B27" s="37" t="n">
        <v>2043</v>
      </c>
      <c r="C27" s="38" t="n">
        <v>111.44</v>
      </c>
      <c r="D27" s="38" t="n">
        <v>3</v>
      </c>
      <c r="E27" s="38" t="n">
        <v>11.4</v>
      </c>
    </row>
    <row r="28">
      <c r="B28" s="35" t="n">
        <v>2044</v>
      </c>
      <c r="C28" s="36" t="n">
        <v>115.34</v>
      </c>
      <c r="D28" s="36" t="n">
        <v>3</v>
      </c>
      <c r="E28" s="36" t="n">
        <v>8.699999999999999</v>
      </c>
    </row>
    <row r="29">
      <c r="B29" s="37" t="n">
        <v>2045</v>
      </c>
      <c r="C29" s="38" t="n">
        <v>119.38</v>
      </c>
      <c r="D29" s="38" t="n">
        <v>3</v>
      </c>
      <c r="E29" s="38" t="n">
        <v>6</v>
      </c>
    </row>
    <row r="30">
      <c r="B30" s="35" t="n">
        <v>2046</v>
      </c>
      <c r="C30" s="36" t="n">
        <v>123.56</v>
      </c>
      <c r="D30" s="36" t="n">
        <v>3</v>
      </c>
      <c r="E30" s="36" t="n">
        <v>6</v>
      </c>
    </row>
    <row r="31">
      <c r="B31" s="37" t="n">
        <v>2047</v>
      </c>
      <c r="C31" s="38" t="n">
        <v>127.88</v>
      </c>
      <c r="D31" s="38" t="n">
        <v>3</v>
      </c>
      <c r="E31" s="38" t="n">
        <v>6</v>
      </c>
    </row>
    <row r="32">
      <c r="B32" s="35" t="n">
        <v>2048</v>
      </c>
      <c r="C32" s="36" t="n">
        <v>132.36</v>
      </c>
      <c r="D32" s="36" t="n">
        <v>3</v>
      </c>
      <c r="E32" s="36" t="n">
        <v>6</v>
      </c>
    </row>
    <row r="33">
      <c r="B33" s="37" t="n">
        <v>2049</v>
      </c>
      <c r="C33" s="38" t="n">
        <v>136.99</v>
      </c>
      <c r="D33" s="38" t="n">
        <v>3</v>
      </c>
      <c r="E33" s="38" t="n">
        <v>6</v>
      </c>
    </row>
    <row r="34">
      <c r="B34" s="39" t="n">
        <v>2050</v>
      </c>
      <c r="C34" s="40" t="n">
        <v>141.78</v>
      </c>
      <c r="D34" s="40" t="n">
        <v>3</v>
      </c>
      <c r="E34" s="40" t="n">
        <v>6</v>
      </c>
    </row>
    <row r="37">
      <c r="B37" s="41" t="inlineStr">
        <is>
          <t>Keterangan: BAU=Business As Usual | NZE=Net Zero Emission | JETP=Just Energy Transition Partnership | Baseline dari CGS Nickel Smelter V1</t>
        </is>
      </c>
    </row>
  </sheetData>
  <mergeCells count="3">
    <mergeCell ref="B1:N1"/>
    <mergeCell ref="B2:E2"/>
    <mergeCell ref="B37:E3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B1" s="1" t="inlineStr">
        <is>
          <t>AGREGASI KAPASITAS &amp; EMISI PER PROVINSI (Semua Status + Operating Only)</t>
        </is>
      </c>
    </row>
    <row r="2" ht="22" customHeight="1">
      <c r="B2" s="8" t="inlineStr">
        <is>
          <t>Semua Smelter (87)</t>
        </is>
      </c>
    </row>
    <row r="3" ht="30" customHeight="1">
      <c r="B3" s="9" t="inlineStr">
        <is>
          <t>Provinsi</t>
        </is>
      </c>
      <c r="C3" s="9" t="inlineStr">
        <is>
          <t>Total
Smelter</t>
        </is>
      </c>
      <c r="D3" s="9" t="inlineStr">
        <is>
          <t>Operating</t>
        </is>
      </c>
      <c r="E3" s="9" t="inlineStr">
        <is>
          <t>Emisi 2025
(MtCO₂)</t>
        </is>
      </c>
      <c r="F3" s="9" t="inlineStr">
        <is>
          <t>Coal MW
Total</t>
        </is>
      </c>
      <c r="G3" s="9" t="inlineStr">
        <is>
          <t>RE MW
Total</t>
        </is>
      </c>
    </row>
    <row r="4">
      <c r="B4" s="10" t="inlineStr">
        <is>
          <t>Maluku Utara</t>
        </is>
      </c>
      <c r="C4" s="11" t="n">
        <v>32</v>
      </c>
      <c r="D4" s="11" t="n">
        <v>20</v>
      </c>
      <c r="E4" s="42" t="n">
        <v>44.27</v>
      </c>
      <c r="F4" s="20" t="n">
        <v>9083</v>
      </c>
      <c r="G4" s="20" t="n">
        <v>0</v>
      </c>
    </row>
    <row r="5">
      <c r="B5" s="12" t="inlineStr">
        <is>
          <t>Sulawesi Tengah</t>
        </is>
      </c>
      <c r="C5" s="13" t="n">
        <v>35</v>
      </c>
      <c r="D5" s="13" t="n">
        <v>24</v>
      </c>
      <c r="E5" s="43" t="n">
        <v>19.82</v>
      </c>
      <c r="F5" s="23" t="n">
        <v>6785</v>
      </c>
      <c r="G5" s="23" t="n">
        <v>0</v>
      </c>
    </row>
    <row r="6">
      <c r="B6" s="10" t="inlineStr">
        <is>
          <t>Sulawesi Tenggara</t>
        </is>
      </c>
      <c r="C6" s="11" t="n">
        <v>20</v>
      </c>
      <c r="D6" s="11" t="n">
        <v>5</v>
      </c>
      <c r="E6" s="42" t="n">
        <v>9.1</v>
      </c>
      <c r="F6" s="20" t="n">
        <v>2429</v>
      </c>
      <c r="G6" s="20" t="n">
        <v>0</v>
      </c>
    </row>
    <row r="8" ht="22" customHeight="1">
      <c r="B8" s="8" t="inlineStr">
        <is>
          <t>Operating Smelters Only (49)</t>
        </is>
      </c>
    </row>
    <row r="9" ht="30" customHeight="1">
      <c r="B9" s="9" t="inlineStr">
        <is>
          <t>Provinsi</t>
        </is>
      </c>
      <c r="C9" s="9" t="inlineStr">
        <is>
          <t>N Op</t>
        </is>
      </c>
      <c r="D9" s="9" t="inlineStr">
        <is>
          <t>Output (tpa)</t>
        </is>
      </c>
      <c r="E9" s="9" t="inlineStr">
        <is>
          <t>Ni Equiv (tpa)</t>
        </is>
      </c>
      <c r="F9" s="9" t="inlineStr">
        <is>
          <t>Emisi 2025
(MtCO₂)</t>
        </is>
      </c>
      <c r="G9" s="9" t="inlineStr">
        <is>
          <t>BAU 2030
(MtCO₂)</t>
        </is>
      </c>
      <c r="H9" s="9" t="inlineStr">
        <is>
          <t>NZE 2030
(MtCO₂)</t>
        </is>
      </c>
      <c r="I9" s="9" t="inlineStr">
        <is>
          <t>BAU 2050
(MtCO₂)</t>
        </is>
      </c>
      <c r="J9" s="9" t="inlineStr">
        <is>
          <t>NZE 2050
(MtCO₂)</t>
        </is>
      </c>
      <c r="K9" s="9" t="inlineStr">
        <is>
          <t>Pot. Reduksi
RE100 (MtCO₂)</t>
        </is>
      </c>
    </row>
    <row r="10">
      <c r="B10" s="10" t="inlineStr">
        <is>
          <t>Maluku Utara</t>
        </is>
      </c>
      <c r="C10" s="11" t="n">
        <v>20</v>
      </c>
      <c r="D10" s="11" t="inlineStr">
        <is>
          <t>4,982,450</t>
        </is>
      </c>
      <c r="E10" s="11" t="inlineStr">
        <is>
          <t>776,000</t>
        </is>
      </c>
      <c r="F10" s="44" t="n">
        <v>38.64</v>
      </c>
      <c r="G10" s="44" t="n">
        <v>52.17</v>
      </c>
      <c r="H10" s="44" t="n">
        <v>27.05</v>
      </c>
      <c r="I10" s="44" t="n">
        <v>81.15000000000001</v>
      </c>
      <c r="J10" s="44" t="n">
        <v>1.93</v>
      </c>
      <c r="K10" s="44" t="n">
        <v>20.62</v>
      </c>
    </row>
    <row r="11">
      <c r="B11" s="12" t="inlineStr">
        <is>
          <t>Sulawesi Tengah</t>
        </is>
      </c>
      <c r="C11" s="13" t="n">
        <v>24</v>
      </c>
      <c r="D11" s="13" t="inlineStr">
        <is>
          <t>8,552,882</t>
        </is>
      </c>
      <c r="E11" s="13" t="inlineStr">
        <is>
          <t>427,000</t>
        </is>
      </c>
      <c r="F11" s="45" t="n">
        <v>17.63</v>
      </c>
      <c r="G11" s="45" t="n">
        <v>23.81</v>
      </c>
      <c r="H11" s="45" t="n">
        <v>12.34</v>
      </c>
      <c r="I11" s="45" t="n">
        <v>37.03</v>
      </c>
      <c r="J11" s="45" t="n">
        <v>0.88</v>
      </c>
      <c r="K11" s="45" t="n">
        <v>2.28</v>
      </c>
    </row>
    <row r="12">
      <c r="B12" s="10" t="inlineStr">
        <is>
          <t>Sulawesi Tenggara</t>
        </is>
      </c>
      <c r="C12" s="11" t="n">
        <v>5</v>
      </c>
      <c r="D12" s="11" t="inlineStr">
        <is>
          <t>3,864,259</t>
        </is>
      </c>
      <c r="E12" s="11" t="inlineStr">
        <is>
          <t>82,600</t>
        </is>
      </c>
      <c r="F12" s="44" t="n">
        <v>3.72</v>
      </c>
      <c r="G12" s="44" t="n">
        <v>5.02</v>
      </c>
      <c r="H12" s="44" t="n">
        <v>2.6</v>
      </c>
      <c r="I12" s="44" t="n">
        <v>7.81</v>
      </c>
      <c r="J12" s="44" t="n">
        <v>0.19</v>
      </c>
      <c r="K12" s="44" t="n">
        <v>0.39</v>
      </c>
    </row>
    <row r="13">
      <c r="B13" s="46" t="inlineStr">
        <is>
          <t>TOTAL</t>
        </is>
      </c>
      <c r="C13" s="46" t="n">
        <v>49</v>
      </c>
      <c r="D13" s="46" t="inlineStr">
        <is>
          <t>17,399,591</t>
        </is>
      </c>
      <c r="E13" s="46" t="inlineStr">
        <is>
          <t>1,285,600</t>
        </is>
      </c>
      <c r="F13" s="47" t="n">
        <v>59.99</v>
      </c>
      <c r="G13" s="47" t="n">
        <v>80.98999999999999</v>
      </c>
      <c r="H13" s="47" t="n">
        <v>42</v>
      </c>
      <c r="I13" s="47" t="n">
        <v>125.99</v>
      </c>
      <c r="J13" s="47" t="n">
        <v>3</v>
      </c>
      <c r="K13" s="47" t="n">
        <v>23.28</v>
      </c>
    </row>
  </sheetData>
  <mergeCells count="3">
    <mergeCell ref="B2:F2"/>
    <mergeCell ref="B1:L1"/>
    <mergeCell ref="B8:L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B1" s="1" t="inlineStr">
        <is>
          <t>BREAKDOWN SUMBER ENERGI PER SMELTER (Operating — 49 Smelters)</t>
        </is>
      </c>
    </row>
    <row r="2" ht="18" customHeight="1">
      <c r="B2" s="33" t="inlineStr">
        <is>
          <t>Data real dari CGS V1: kolom Coal/PLN/Diesel/Gas/Hydro/Solar (MW) per smelter. Data aktual, bukan estimasi.</t>
        </is>
      </c>
    </row>
    <row r="3" ht="30" customHeight="1">
      <c r="B3" s="9" t="inlineStr">
        <is>
          <t>Perusahaan</t>
        </is>
      </c>
      <c r="C3" s="9" t="inlineStr">
        <is>
          <t>Provinsi</t>
        </is>
      </c>
      <c r="D3" s="9" t="inlineStr">
        <is>
          <t>Proses</t>
        </is>
      </c>
      <c r="E3" s="9" t="inlineStr">
        <is>
          <t>Coal
(MW)</t>
        </is>
      </c>
      <c r="F3" s="9" t="inlineStr">
        <is>
          <t>Diesel
(MW)</t>
        </is>
      </c>
      <c r="G3" s="9" t="inlineStr">
        <is>
          <t>PLN
(MW)</t>
        </is>
      </c>
      <c r="H3" s="9" t="inlineStr">
        <is>
          <t>Gas
(MW)</t>
        </is>
      </c>
      <c r="I3" s="9" t="inlineStr">
        <is>
          <t>Hydro
(MW)</t>
        </is>
      </c>
      <c r="J3" s="9" t="inlineStr">
        <is>
          <t>Solar
(MW)</t>
        </is>
      </c>
    </row>
    <row r="4">
      <c r="B4" s="10" t="inlineStr">
        <is>
          <t>Obi Nickel Cobalt</t>
        </is>
      </c>
      <c r="C4" s="10" t="inlineStr">
        <is>
          <t>Maluku Utara</t>
        </is>
      </c>
      <c r="D4" s="20" t="inlineStr">
        <is>
          <t>HPAL</t>
        </is>
      </c>
      <c r="E4" s="48" t="n">
        <v>1520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</row>
    <row r="5">
      <c r="B5" s="12" t="inlineStr">
        <is>
          <t>Halmahera Persada Lygend</t>
        </is>
      </c>
      <c r="C5" s="12" t="inlineStr">
        <is>
          <t>Maluku Utara</t>
        </is>
      </c>
      <c r="D5" s="23" t="inlineStr">
        <is>
          <t>HPAL</t>
        </is>
      </c>
      <c r="E5" s="48" t="n">
        <v>1250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</row>
    <row r="6">
      <c r="B6" s="10" t="inlineStr">
        <is>
          <t>Halmahera Jaya Feronikel</t>
        </is>
      </c>
      <c r="C6" s="10" t="inlineStr">
        <is>
          <t>Maluku Utara</t>
        </is>
      </c>
      <c r="D6" s="20" t="inlineStr">
        <is>
          <t>RKEF</t>
        </is>
      </c>
      <c r="E6" s="48" t="n">
        <v>1074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</row>
    <row r="7">
      <c r="B7" s="12" t="inlineStr">
        <is>
          <t>Angel Nickel Industry</t>
        </is>
      </c>
      <c r="C7" s="12" t="inlineStr">
        <is>
          <t>Maluku Utara</t>
        </is>
      </c>
      <c r="D7" s="23" t="inlineStr">
        <is>
          <t>RKEF</t>
        </is>
      </c>
      <c r="E7" s="48" t="n">
        <v>760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</row>
    <row r="8">
      <c r="B8" s="10" t="inlineStr">
        <is>
          <t>Sunny Metal Industry</t>
        </is>
      </c>
      <c r="C8" s="10" t="inlineStr">
        <is>
          <t>Maluku Utara</t>
        </is>
      </c>
      <c r="D8" s="20" t="inlineStr">
        <is>
          <t>RKEF</t>
        </is>
      </c>
      <c r="E8" s="49" t="n">
        <v>380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</row>
    <row r="9">
      <c r="B9" s="12" t="inlineStr">
        <is>
          <t>Huake Nickel Indonesia</t>
        </is>
      </c>
      <c r="C9" s="12" t="inlineStr">
        <is>
          <t>Maluku Utara</t>
        </is>
      </c>
      <c r="D9" s="23" t="inlineStr">
        <is>
          <t>SAF</t>
        </is>
      </c>
      <c r="E9" s="49" t="n">
        <v>250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</row>
    <row r="10">
      <c r="B10" s="10" t="inlineStr">
        <is>
          <t>Weda Bay Nickel</t>
        </is>
      </c>
      <c r="C10" s="10" t="inlineStr">
        <is>
          <t>Maluku Utara</t>
        </is>
      </c>
      <c r="D10" s="20" t="inlineStr">
        <is>
          <t>RKEF</t>
        </is>
      </c>
      <c r="E10" s="49" t="n">
        <v>250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</row>
    <row r="11">
      <c r="B11" s="12" t="inlineStr">
        <is>
          <t>Yashi Indonesia Investment</t>
        </is>
      </c>
      <c r="C11" s="12" t="inlineStr">
        <is>
          <t>Maluku Utara</t>
        </is>
      </c>
      <c r="D11" s="23" t="inlineStr">
        <is>
          <t>RKEF</t>
        </is>
      </c>
      <c r="E11" s="49" t="n">
        <v>250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B12" s="10" t="inlineStr">
        <is>
          <t>Youshan Nickel Industry</t>
        </is>
      </c>
      <c r="C12" s="10" t="inlineStr">
        <is>
          <t>Maluku Utara</t>
        </is>
      </c>
      <c r="D12" s="20" t="inlineStr">
        <is>
          <t>RKEF</t>
        </is>
      </c>
      <c r="E12" s="49" t="n">
        <v>250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</row>
    <row r="13">
      <c r="B13" s="12" t="inlineStr">
        <is>
          <t>Perkasa Metal Industry</t>
        </is>
      </c>
      <c r="C13" s="12" t="inlineStr">
        <is>
          <t>Maluku Utara</t>
        </is>
      </c>
      <c r="D13" s="23" t="inlineStr">
        <is>
          <t>Unknown</t>
        </is>
      </c>
      <c r="E13" s="49" t="n">
        <v>206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</row>
    <row r="14">
      <c r="B14" s="10" t="inlineStr">
        <is>
          <t>Wanatiara Persada</t>
        </is>
      </c>
      <c r="C14" s="10" t="inlineStr">
        <is>
          <t>Maluku Utara</t>
        </is>
      </c>
      <c r="D14" s="20" t="inlineStr">
        <is>
          <t>BF</t>
        </is>
      </c>
      <c r="E14" s="49" t="n">
        <v>150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</row>
    <row r="15">
      <c r="B15" s="12" t="inlineStr">
        <is>
          <t>Megah Surya Pertiwi</t>
        </is>
      </c>
      <c r="C15" s="12" t="inlineStr">
        <is>
          <t>Maluku Utara</t>
        </is>
      </c>
      <c r="D15" s="23" t="inlineStr">
        <is>
          <t>RKEF</t>
        </is>
      </c>
      <c r="E15" s="49" t="n">
        <v>120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</row>
    <row r="16">
      <c r="B16" s="10" t="inlineStr">
        <is>
          <t>Huafei Nickel Cobalt</t>
        </is>
      </c>
      <c r="C16" s="10" t="inlineStr">
        <is>
          <t>Maluku Utara</t>
        </is>
      </c>
      <c r="D16" s="20" t="inlineStr">
        <is>
          <t>HPAL</t>
        </is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</row>
    <row r="17">
      <c r="B17" s="12" t="inlineStr">
        <is>
          <t xml:space="preserve">Karunia Permai Sentosa </t>
        </is>
      </c>
      <c r="C17" s="12" t="inlineStr">
        <is>
          <t>Maluku Utara</t>
        </is>
      </c>
      <c r="D17" s="23" t="inlineStr">
        <is>
          <t>RKEF</t>
        </is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</row>
    <row r="18">
      <c r="B18" s="10" t="inlineStr">
        <is>
          <t xml:space="preserve">PT Andalan Metal Industry </t>
        </is>
      </c>
      <c r="C18" s="10" t="inlineStr">
        <is>
          <t>Maluku Utara</t>
        </is>
      </c>
      <c r="D18" s="20" t="inlineStr">
        <is>
          <t>RKEF</t>
        </is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</row>
    <row r="19">
      <c r="B19" s="12" t="inlineStr">
        <is>
          <t>PT Langit Metal Industry</t>
        </is>
      </c>
      <c r="C19" s="12" t="inlineStr">
        <is>
          <t>Maluku Utara</t>
        </is>
      </c>
      <c r="D19" s="23" t="inlineStr">
        <is>
          <t>RKEF</t>
        </is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</row>
    <row r="20">
      <c r="B20" s="10" t="inlineStr">
        <is>
          <t>PT Infei Metal Industry</t>
        </is>
      </c>
      <c r="C20" s="10" t="inlineStr">
        <is>
          <t>Maluku Utara</t>
        </is>
      </c>
      <c r="D20" s="20" t="inlineStr">
        <is>
          <t>RKEF</t>
        </is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</row>
    <row r="21">
      <c r="B21" s="12" t="inlineStr">
        <is>
          <t>PT Kao Rahai Smelters</t>
        </is>
      </c>
      <c r="C21" s="12" t="inlineStr">
        <is>
          <t>Maluku Utara</t>
        </is>
      </c>
      <c r="D21" s="23" t="inlineStr">
        <is>
          <t>Unknown</t>
        </is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</row>
    <row r="22">
      <c r="B22" s="10" t="inlineStr">
        <is>
          <t>PT Jiu Long Metal Industry</t>
        </is>
      </c>
      <c r="C22" s="10" t="inlineStr">
        <is>
          <t>Maluku Utara</t>
        </is>
      </c>
      <c r="D22" s="20" t="inlineStr">
        <is>
          <t>Unknown</t>
        </is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</v>
      </c>
    </row>
    <row r="23">
      <c r="B23" s="12" t="inlineStr">
        <is>
          <t>PT Westrong Metal Industry</t>
        </is>
      </c>
      <c r="C23" s="12" t="inlineStr">
        <is>
          <t>Maluku Utara</t>
        </is>
      </c>
      <c r="D23" s="23" t="inlineStr">
        <is>
          <t>RKEF</t>
        </is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</row>
    <row r="24">
      <c r="B24" s="10" t="inlineStr">
        <is>
          <t>Gunbuster Nickel Industry</t>
        </is>
      </c>
      <c r="C24" s="10" t="inlineStr">
        <is>
          <t>Sulawesi Tengah</t>
        </is>
      </c>
      <c r="D24" s="20" t="inlineStr">
        <is>
          <t>RKEF</t>
        </is>
      </c>
      <c r="E24" s="48" t="n">
        <v>2295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</row>
    <row r="25">
      <c r="B25" s="12" t="inlineStr">
        <is>
          <t>Indonesia Tsingshan Stainless Steel</t>
        </is>
      </c>
      <c r="C25" s="12" t="inlineStr">
        <is>
          <t>Sulawesi Tengah</t>
        </is>
      </c>
      <c r="D25" s="23" t="inlineStr">
        <is>
          <t>RKEF</t>
        </is>
      </c>
      <c r="E25" s="48" t="n">
        <v>1400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</row>
    <row r="26">
      <c r="B26" s="10" t="inlineStr">
        <is>
          <t>Sulawesi Mining Investment</t>
        </is>
      </c>
      <c r="C26" s="10" t="inlineStr">
        <is>
          <t>Sulawesi Tengah</t>
        </is>
      </c>
      <c r="D26" s="20" t="inlineStr">
        <is>
          <t>RKEF</t>
        </is>
      </c>
      <c r="E26" s="48" t="n">
        <v>640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</row>
    <row r="27">
      <c r="B27" s="12" t="inlineStr">
        <is>
          <t>Lestari Smelter Indonesia</t>
        </is>
      </c>
      <c r="C27" s="12" t="inlineStr">
        <is>
          <t>Sulawesi Tengah</t>
        </is>
      </c>
      <c r="D27" s="23" t="inlineStr">
        <is>
          <t>RKEF</t>
        </is>
      </c>
      <c r="E27" s="49" t="n">
        <v>350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</row>
    <row r="28">
      <c r="B28" s="10" t="inlineStr">
        <is>
          <t>Walsin Nickel Industrial Indonesia</t>
        </is>
      </c>
      <c r="C28" s="10" t="inlineStr">
        <is>
          <t>Sulawesi Tengah</t>
        </is>
      </c>
      <c r="D28" s="20" t="inlineStr">
        <is>
          <t>RKEF</t>
        </is>
      </c>
      <c r="E28" s="49" t="n">
        <v>350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</row>
    <row r="29">
      <c r="B29" s="12" t="inlineStr">
        <is>
          <t>Indonesia Guang Ching Nickel and SSI</t>
        </is>
      </c>
      <c r="C29" s="12" t="inlineStr">
        <is>
          <t>Sulawesi Tengah</t>
        </is>
      </c>
      <c r="D29" s="23" t="inlineStr">
        <is>
          <t>RKEF</t>
        </is>
      </c>
      <c r="E29" s="49" t="n">
        <v>300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</row>
    <row r="30">
      <c r="B30" s="10" t="inlineStr">
        <is>
          <t>Huayue Nickel Cobalt</t>
        </is>
      </c>
      <c r="C30" s="10" t="inlineStr">
        <is>
          <t>Sulawesi Tengah</t>
        </is>
      </c>
      <c r="D30" s="20" t="inlineStr">
        <is>
          <t>HPAL</t>
        </is>
      </c>
      <c r="E30" s="49" t="n">
        <v>250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</row>
    <row r="31">
      <c r="B31" s="12" t="inlineStr">
        <is>
          <t>Wanxiang Nickel Indonesia</t>
        </is>
      </c>
      <c r="C31" s="12" t="inlineStr">
        <is>
          <t>Sulawesi Tengah</t>
        </is>
      </c>
      <c r="D31" s="23" t="inlineStr">
        <is>
          <t>RKEF</t>
        </is>
      </c>
      <c r="E31" s="49" t="n">
        <v>150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</row>
    <row r="32">
      <c r="B32" s="10" t="inlineStr">
        <is>
          <t>Tsingshan Steel Indonesia</t>
        </is>
      </c>
      <c r="C32" s="10" t="inlineStr">
        <is>
          <t>Sulawesi Tengah</t>
        </is>
      </c>
      <c r="D32" s="20" t="inlineStr">
        <is>
          <t>BF</t>
        </is>
      </c>
      <c r="E32" s="49" t="n">
        <v>130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</row>
    <row r="33">
      <c r="B33" s="12" t="inlineStr">
        <is>
          <t>PT Metal Smelt Indo Selaras</t>
        </is>
      </c>
      <c r="C33" s="12" t="inlineStr">
        <is>
          <t>Sulawesi Tengah</t>
        </is>
      </c>
      <c r="D33" s="23" t="inlineStr">
        <is>
          <t>RKEF</t>
        </is>
      </c>
      <c r="E33" s="49" t="n">
        <v>130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</row>
    <row r="34">
      <c r="B34" s="10" t="inlineStr">
        <is>
          <t>Bukit Smelter Indonesia</t>
        </is>
      </c>
      <c r="C34" s="10" t="inlineStr">
        <is>
          <t>Sulawesi Tengah</t>
        </is>
      </c>
      <c r="D34" s="20" t="inlineStr">
        <is>
          <t>RKEF</t>
        </is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</row>
    <row r="35">
      <c r="B35" s="12" t="inlineStr">
        <is>
          <t>Cahaya Smelter Indonesia</t>
        </is>
      </c>
      <c r="C35" s="12" t="inlineStr">
        <is>
          <t>Sulawesi Tengah</t>
        </is>
      </c>
      <c r="D35" s="23" t="inlineStr">
        <is>
          <t>RKEF</t>
        </is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</row>
    <row r="36">
      <c r="B36" s="10" t="inlineStr">
        <is>
          <t>Hengjaya Nickel Industry</t>
        </is>
      </c>
      <c r="C36" s="10" t="inlineStr">
        <is>
          <t>Sulawesi Tengah</t>
        </is>
      </c>
      <c r="D36" s="20" t="inlineStr">
        <is>
          <t>RKEF</t>
        </is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</row>
    <row r="37">
      <c r="B37" s="12" t="inlineStr">
        <is>
          <t>Indonesia Ruipu Nickel and Chrome Alloy</t>
        </is>
      </c>
      <c r="C37" s="12" t="inlineStr">
        <is>
          <t>Sulawesi Tengah</t>
        </is>
      </c>
      <c r="D37" s="23" t="inlineStr">
        <is>
          <t>RKEF</t>
        </is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</row>
    <row r="38">
      <c r="B38" s="10" t="inlineStr">
        <is>
          <t>QMB New Energy Materials Indonesia</t>
        </is>
      </c>
      <c r="C38" s="10" t="inlineStr">
        <is>
          <t>Sulawesi Tengah</t>
        </is>
      </c>
      <c r="D38" s="20" t="inlineStr">
        <is>
          <t>HPAL</t>
        </is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</row>
    <row r="39">
      <c r="B39" s="12" t="inlineStr">
        <is>
          <t>Ranger Nickel Industry</t>
        </is>
      </c>
      <c r="C39" s="12" t="inlineStr">
        <is>
          <t>Sulawesi Tengah</t>
        </is>
      </c>
      <c r="D39" s="23" t="inlineStr">
        <is>
          <t>RKEF</t>
        </is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</row>
    <row r="40">
      <c r="B40" s="10" t="inlineStr">
        <is>
          <t>Ocean Sky Metal Industry</t>
        </is>
      </c>
      <c r="C40" s="10" t="inlineStr">
        <is>
          <t>Sulawesi Tengah</t>
        </is>
      </c>
      <c r="D40" s="20" t="inlineStr">
        <is>
          <t>Unknown</t>
        </is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</row>
    <row r="41">
      <c r="B41" s="12" t="inlineStr">
        <is>
          <t>Zhao Hui Nickel</t>
        </is>
      </c>
      <c r="C41" s="12" t="inlineStr">
        <is>
          <t>Sulawesi Tengah</t>
        </is>
      </c>
      <c r="D41" s="23" t="inlineStr">
        <is>
          <t>RKEF</t>
        </is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</row>
    <row r="42">
      <c r="B42" s="10" t="inlineStr">
        <is>
          <t>PT Huaneng Metal Industry</t>
        </is>
      </c>
      <c r="C42" s="10" t="inlineStr">
        <is>
          <t>Sulawesi Tengah</t>
        </is>
      </c>
      <c r="D42" s="20" t="inlineStr">
        <is>
          <t>RKEF</t>
        </is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</row>
    <row r="43">
      <c r="B43" s="12" t="inlineStr">
        <is>
          <t>PT ESG New Energy Material</t>
        </is>
      </c>
      <c r="C43" s="12" t="inlineStr">
        <is>
          <t>Sulawesi Tengah</t>
        </is>
      </c>
      <c r="D43" s="23" t="inlineStr">
        <is>
          <t>HPAL</t>
        </is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</row>
    <row r="44">
      <c r="B44" s="10" t="inlineStr">
        <is>
          <t>Oracle Nickel</t>
        </is>
      </c>
      <c r="C44" s="10" t="inlineStr">
        <is>
          <t>Sulawesi Tengah</t>
        </is>
      </c>
      <c r="D44" s="20" t="inlineStr">
        <is>
          <t>RKEF</t>
        </is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</row>
    <row r="45">
      <c r="B45" s="12" t="inlineStr">
        <is>
          <t>Nadesico Nickel Industry</t>
        </is>
      </c>
      <c r="C45" s="12" t="inlineStr">
        <is>
          <t>Sulawesi Tengah</t>
        </is>
      </c>
      <c r="D45" s="23" t="inlineStr">
        <is>
          <t>RKEF</t>
        </is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</row>
    <row r="46">
      <c r="B46" s="10" t="inlineStr">
        <is>
          <t>Zhongtsing New Energy</t>
        </is>
      </c>
      <c r="C46" s="10" t="inlineStr">
        <is>
          <t>Sulawesi Tengah</t>
        </is>
      </c>
      <c r="D46" s="20" t="inlineStr">
        <is>
          <t>Unknown</t>
        </is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</row>
    <row r="47">
      <c r="B47" s="12" t="inlineStr">
        <is>
          <t>Dingxing New Energy</t>
        </is>
      </c>
      <c r="C47" s="12" t="inlineStr">
        <is>
          <t>Sulawesi Tengah</t>
        </is>
      </c>
      <c r="D47" s="23" t="inlineStr">
        <is>
          <t>HPAL</t>
        </is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</row>
    <row r="48">
      <c r="B48" s="10" t="inlineStr">
        <is>
          <t>Obsidian Stainless Steel</t>
        </is>
      </c>
      <c r="C48" s="10" t="inlineStr">
        <is>
          <t>Sulawesi Tenggara</t>
        </is>
      </c>
      <c r="D48" s="20" t="inlineStr">
        <is>
          <t>RKEF</t>
        </is>
      </c>
      <c r="E48" s="48" t="n">
        <v>1780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0</v>
      </c>
    </row>
    <row r="49">
      <c r="B49" s="12" t="inlineStr">
        <is>
          <t>Virtue Dragon Nickel Industry (VDNI)</t>
        </is>
      </c>
      <c r="C49" s="12" t="inlineStr">
        <is>
          <t>Sulawesi Tenggara</t>
        </is>
      </c>
      <c r="D49" s="23" t="inlineStr">
        <is>
          <t>RKEF</t>
        </is>
      </c>
      <c r="E49" s="48" t="n">
        <v>530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</row>
    <row r="50">
      <c r="B50" s="10" t="inlineStr">
        <is>
          <t>ANTAM Pomalaa RKEF</t>
        </is>
      </c>
      <c r="C50" s="10" t="inlineStr">
        <is>
          <t>Sulawesi Tenggara</t>
        </is>
      </c>
      <c r="D50" s="20" t="inlineStr">
        <is>
          <t>RKEF</t>
        </is>
      </c>
      <c r="E50" s="49" t="n">
        <v>60</v>
      </c>
      <c r="F50" s="20" t="n">
        <v>100</v>
      </c>
      <c r="G50" s="20" t="n">
        <v>0</v>
      </c>
      <c r="H50" s="20" t="n">
        <v>0</v>
      </c>
      <c r="I50" s="20" t="n">
        <v>0</v>
      </c>
      <c r="J50" s="20" t="n">
        <v>0</v>
      </c>
    </row>
    <row r="51">
      <c r="B51" s="12" t="inlineStr">
        <is>
          <t>Mapan Asri Sejahtera</t>
        </is>
      </c>
      <c r="C51" s="12" t="inlineStr">
        <is>
          <t>Sulawesi Tenggara</t>
        </is>
      </c>
      <c r="D51" s="23" t="inlineStr">
        <is>
          <t>BF</t>
        </is>
      </c>
      <c r="E51" s="49" t="n">
        <v>3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</row>
    <row r="52">
      <c r="B52" s="10" t="inlineStr">
        <is>
          <t>Ceria Nugraha Indotama (RKEF) / Merah Putih smelter</t>
        </is>
      </c>
      <c r="C52" s="10" t="inlineStr">
        <is>
          <t>Sulawesi Tenggara</t>
        </is>
      </c>
      <c r="D52" s="20" t="inlineStr">
        <is>
          <t>RKEF</t>
        </is>
      </c>
      <c r="E52" s="20" t="n">
        <v>0</v>
      </c>
      <c r="F52" s="20" t="n">
        <v>0</v>
      </c>
      <c r="G52" s="20" t="n">
        <v>350</v>
      </c>
      <c r="H52" s="20" t="n">
        <v>0</v>
      </c>
      <c r="I52" s="20" t="n">
        <v>0</v>
      </c>
      <c r="J52" s="20" t="n">
        <v>0</v>
      </c>
    </row>
    <row r="53">
      <c r="B53" s="46" t="inlineStr">
        <is>
          <t>TOTAL</t>
        </is>
      </c>
      <c r="C53" s="46" t="inlineStr"/>
      <c r="D53" s="46" t="inlineStr"/>
      <c r="E53" s="50" t="n">
        <v>14828</v>
      </c>
      <c r="F53" s="50" t="n">
        <v>100</v>
      </c>
      <c r="G53" s="50" t="n">
        <v>350</v>
      </c>
      <c r="H53" s="50" t="n">
        <v>0</v>
      </c>
      <c r="I53" s="50" t="n">
        <v>0</v>
      </c>
      <c r="J53" s="50" t="n">
        <v>0</v>
      </c>
    </row>
    <row r="56">
      <c r="B56" s="51" t="inlineStr">
        <is>
          <t>Sumber</t>
        </is>
      </c>
      <c r="C56" s="51" t="inlineStr">
        <is>
          <t>Total MW</t>
        </is>
      </c>
    </row>
    <row r="57">
      <c r="B57" s="52" t="inlineStr">
        <is>
          <t>Coal</t>
        </is>
      </c>
      <c r="C57" s="53" t="n">
        <v>14828</v>
      </c>
    </row>
    <row r="58">
      <c r="B58" s="52" t="inlineStr">
        <is>
          <t>Diesel</t>
        </is>
      </c>
      <c r="C58" s="53" t="n">
        <v>100</v>
      </c>
    </row>
    <row r="59">
      <c r="B59" s="52" t="inlineStr">
        <is>
          <t>PLN</t>
        </is>
      </c>
      <c r="C59" s="53" t="n">
        <v>350</v>
      </c>
    </row>
    <row r="60">
      <c r="B60" s="52" t="inlineStr">
        <is>
          <t>Gas</t>
        </is>
      </c>
      <c r="C60" s="53" t="n">
        <v>0</v>
      </c>
    </row>
    <row r="61">
      <c r="B61" s="52" t="inlineStr">
        <is>
          <t>Hydro</t>
        </is>
      </c>
      <c r="C61" s="53" t="n">
        <v>0</v>
      </c>
    </row>
    <row r="62">
      <c r="B62" s="52" t="inlineStr">
        <is>
          <t>Solar</t>
        </is>
      </c>
      <c r="C62" s="53" t="n">
        <v>0</v>
      </c>
    </row>
  </sheetData>
  <autoFilter ref="B3:J3"/>
  <mergeCells count="2">
    <mergeCell ref="B1:J1"/>
    <mergeCell ref="B2:J2"/>
  </mergeCells>
  <conditionalFormatting sqref="E4:E52">
    <cfRule type="dataBar" priority="1">
      <dataBar>
        <cfvo type="min"/>
        <cfvo type="max"/>
        <color rgb="00F8696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6" customWidth="1" min="4" max="4"/>
    <col width="12" customWidth="1" min="5" max="5"/>
    <col width="18" customWidth="1" min="6" max="6"/>
    <col width="18" customWidth="1" min="7" max="7"/>
    <col width="45" customWidth="1" min="8" max="8"/>
  </cols>
  <sheetData>
    <row r="1" ht="30" customHeight="1">
      <c r="B1" s="1" t="inlineStr">
        <is>
          <t>STRATEGI PENURUNAN EMISI — FEASIBILITY MATRIX &amp; PRIORITAS</t>
        </is>
      </c>
    </row>
    <row r="2" ht="30" customHeight="1">
      <c r="B2" s="9" t="inlineStr">
        <is>
          <t>Strategi Intervensi</t>
        </is>
      </c>
      <c r="C2" s="9" t="inlineStr">
        <is>
          <t>Reduksi
Emisi (%)</t>
        </is>
      </c>
      <c r="D2" s="9" t="inlineStr">
        <is>
          <t>CAPEX
(USD juta)</t>
        </is>
      </c>
      <c r="E2" s="9" t="inlineStr">
        <is>
          <t>Payback
(Tahun)</t>
        </is>
      </c>
      <c r="F2" s="9" t="inlineStr">
        <is>
          <t>Kesiapan
Teknologi</t>
        </is>
      </c>
      <c r="G2" s="9" t="inlineStr">
        <is>
          <t>Prioritas</t>
        </is>
      </c>
      <c r="H2" s="9" t="inlineStr">
        <is>
          <t>Catatan Implementasi</t>
        </is>
      </c>
    </row>
    <row r="3" ht="28" customHeight="1">
      <c r="B3" s="54" t="inlineStr">
        <is>
          <t>Transisi EBT: PLTU Batubara → Solar + PLTS Terapung</t>
        </is>
      </c>
      <c r="C3" s="20" t="n">
        <v>65</v>
      </c>
      <c r="D3" s="20" t="n">
        <v>280</v>
      </c>
      <c r="E3" s="20" t="n">
        <v>7</v>
      </c>
      <c r="F3" s="11" t="inlineStr">
        <is>
          <t>Tersedia</t>
        </is>
      </c>
      <c r="G3" s="19" t="inlineStr">
        <is>
          <t>Jangka Pendek</t>
        </is>
      </c>
      <c r="H3" s="54" t="inlineStr">
        <is>
          <t>Feasible untuk Morowali &amp; IWIP. PLN sudah ada framework. Reduksi 65% emisi langsung dari grid smelter.</t>
        </is>
      </c>
    </row>
    <row r="4" ht="28" customHeight="1">
      <c r="B4" s="55" t="inlineStr">
        <is>
          <t>Efisiensi Energi Smelter (Heat Recovery + Optimasi RKEF)</t>
        </is>
      </c>
      <c r="C4" s="23" t="n">
        <v>12</v>
      </c>
      <c r="D4" s="23" t="n">
        <v>45</v>
      </c>
      <c r="E4" s="23" t="n">
        <v>4</v>
      </c>
      <c r="F4" s="13" t="inlineStr">
        <is>
          <t>Tersedia</t>
        </is>
      </c>
      <c r="G4" s="19" t="inlineStr">
        <is>
          <t>Jangka Pendek</t>
        </is>
      </c>
      <c r="H4" s="55" t="inlineStr">
        <is>
          <t>Payback tercepat (4 thn). Teknologi proven. Kombinasi dgn EBT = quick win terbesar utk lomba.</t>
        </is>
      </c>
    </row>
    <row r="5" ht="28" customHeight="1">
      <c r="B5" s="54" t="inlineStr">
        <is>
          <t>Carbon Offset: Rehabilitasi Mangrove &amp; Hutan</t>
        </is>
      </c>
      <c r="C5" s="20" t="n">
        <v>8</v>
      </c>
      <c r="D5" s="20" t="n">
        <v>15</v>
      </c>
      <c r="E5" s="20" t="n">
        <v>10</v>
      </c>
      <c r="F5" s="11" t="inlineStr">
        <is>
          <t>Tersedia</t>
        </is>
      </c>
      <c r="G5" s="19" t="inlineStr">
        <is>
          <t>Jangka Pendek</t>
        </is>
      </c>
      <c r="H5" s="54" t="inlineStr">
        <is>
          <t>Indonesia punya potensi 3.3 juta ha mangrove. Kredit karbon bisa dikomersialisasi ke offtaker EV batt.</t>
        </is>
      </c>
    </row>
    <row r="6" ht="28" customHeight="1">
      <c r="B6" s="55" t="inlineStr">
        <is>
          <t>Substitusi Proses NPI→HPAL (jalur rendah emisi)</t>
        </is>
      </c>
      <c r="C6" s="23" t="n">
        <v>75</v>
      </c>
      <c r="D6" s="23" t="n">
        <v>600</v>
      </c>
      <c r="E6" s="23" t="n">
        <v>10</v>
      </c>
      <c r="F6" s="13" t="inlineStr">
        <is>
          <t>Berkembang</t>
        </is>
      </c>
      <c r="G6" s="56" t="inlineStr">
        <is>
          <t>Jangka Menengah</t>
        </is>
      </c>
      <c r="H6" s="55" t="inlineStr">
        <is>
          <t>HPAL GHG ~10 tCO₂/tNi vs NPI 68.4. Butuh pasokan air bersih &amp; asam sulfat. Vale &amp; Harita sudah mulai.</t>
        </is>
      </c>
    </row>
    <row r="7" ht="28" customHeight="1">
      <c r="B7" s="54" t="inlineStr">
        <is>
          <t>Carbon Capture &amp; Storage (CCS) di stack PLTU smelter</t>
        </is>
      </c>
      <c r="C7" s="20" t="n">
        <v>15</v>
      </c>
      <c r="D7" s="20" t="n">
        <v>120</v>
      </c>
      <c r="E7" s="20" t="n">
        <v>15</v>
      </c>
      <c r="F7" s="11" t="inlineStr">
        <is>
          <t>Berkembang</t>
        </is>
      </c>
      <c r="G7" s="56" t="inlineStr">
        <is>
          <t>Jangka Menengah</t>
        </is>
      </c>
      <c r="H7" s="54" t="inlineStr">
        <is>
          <t>Ada proyek percontohan di Indonesia. Regulasi PP 16/2024 membuka jalan. Biaya masih tinggi.</t>
        </is>
      </c>
    </row>
    <row r="8" ht="28" customHeight="1">
      <c r="B8" s="55" t="inlineStr">
        <is>
          <t>Green Hydrogen: H₂ sebagai reduktor pengganti kokas</t>
        </is>
      </c>
      <c r="C8" s="23" t="n">
        <v>80</v>
      </c>
      <c r="D8" s="23" t="n">
        <v>850</v>
      </c>
      <c r="E8" s="23" t="n">
        <v>12</v>
      </c>
      <c r="F8" s="13" t="inlineStr">
        <is>
          <t>Riset</t>
        </is>
      </c>
      <c r="G8" s="57" t="inlineStr">
        <is>
          <t>Jangka Panjang</t>
        </is>
      </c>
      <c r="H8" s="55" t="inlineStr">
        <is>
          <t>Potensi reduksi tertinggi. Infrastruktur H₂ belum ada. Target realistis produksi: 2040+.</t>
        </is>
      </c>
    </row>
    <row r="9" ht="28" customHeight="1">
      <c r="B9" s="54" t="inlineStr">
        <is>
          <t>Elektrifikasi penuh + Smart Grid Kawasan Industri</t>
        </is>
      </c>
      <c r="C9" s="20" t="n">
        <v>70</v>
      </c>
      <c r="D9" s="20" t="n">
        <v>420</v>
      </c>
      <c r="E9" s="20" t="n">
        <v>9</v>
      </c>
      <c r="F9" s="11" t="inlineStr">
        <is>
          <t>Berkembang</t>
        </is>
      </c>
      <c r="G9" s="56" t="inlineStr">
        <is>
          <t>Jangka Menengah</t>
        </is>
      </c>
      <c r="H9" s="54" t="inlineStr">
        <is>
          <t>IMIP dan IWIP berpotensi jadi microgrid hybrid. Memerlukan koordinasi PLN &amp; ESDM.</t>
        </is>
      </c>
    </row>
    <row r="10" ht="8" customHeight="1"/>
    <row r="11" ht="28" customHeight="1">
      <c r="B11" s="58" t="inlineStr">
        <is>
          <t>★ REKOMENDASI PAKET PRIORITAS: Efisiensi Energi + Transisi EBT (total reduksi ~77%, CAPEX $325 juta, payback &lt;7 thn) → implementasi 2025–2028. Didukung JETP $20B &amp; RUPTL 2024–2033.</t>
        </is>
      </c>
    </row>
  </sheetData>
  <mergeCells count="2">
    <mergeCell ref="B1:K1"/>
    <mergeCell ref="B11:H1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B1" s="1" t="inlineStr">
        <is>
          <t>DAMPAK SEKTORAL PDRB — ANALISIS I-O CREA-CELIOS (2024)</t>
        </is>
      </c>
    </row>
    <row r="2" ht="18" customHeight="1">
      <c r="B2" s="33" t="inlineStr">
        <is>
          <t>Sumber: CREA-CELIOS Indonesia Nickel Development (2024). Analisis Input-Output Leontief. Th.1=konstruksi; Th.9=operasi BAU jangka panjang.</t>
        </is>
      </c>
    </row>
    <row r="3" ht="30" customHeight="1">
      <c r="B3" s="9" t="inlineStr">
        <is>
          <t>Sektor</t>
        </is>
      </c>
      <c r="C3" s="9" t="inlineStr">
        <is>
          <t>BAU Tahun 1
(Rp M)</t>
        </is>
      </c>
      <c r="D3" s="9" t="inlineStr">
        <is>
          <t>BAU Tahun 9
(Rp M)</t>
        </is>
      </c>
      <c r="E3" s="9" t="inlineStr">
        <is>
          <t>RE+APC Th.9
(Rp M)</t>
        </is>
      </c>
      <c r="F3" s="9" t="inlineStr">
        <is>
          <t>Delta BAU→RE+APC
(Rp M)</t>
        </is>
      </c>
      <c r="G3" s="9" t="inlineStr">
        <is>
          <t>Interpretasi</t>
        </is>
      </c>
    </row>
    <row r="4" ht="28" customHeight="1">
      <c r="B4" s="10" t="inlineStr">
        <is>
          <t>Pertanian</t>
        </is>
      </c>
      <c r="C4" s="20" t="n">
        <v>45</v>
      </c>
      <c r="D4" s="59" t="n">
        <v>-394</v>
      </c>
      <c r="E4" s="20" t="n">
        <v>-50</v>
      </c>
      <c r="F4" s="60" t="n">
        <v>344</v>
      </c>
      <c r="G4" s="10" t="inlineStr">
        <is>
          <t>Paling terdampak negatif BAU; RE+APC kurangi 87% dampak negatif</t>
        </is>
      </c>
    </row>
    <row r="5" ht="28" customHeight="1">
      <c r="B5" s="12" t="inlineStr">
        <is>
          <t>Pertambangan &amp; Galian</t>
        </is>
      </c>
      <c r="C5" s="23" t="n">
        <v>320</v>
      </c>
      <c r="D5" s="61" t="n">
        <v>82</v>
      </c>
      <c r="E5" s="61" t="n">
        <v>280</v>
      </c>
      <c r="F5" s="23" t="n">
        <v>-198</v>
      </c>
      <c r="G5" s="12" t="inlineStr">
        <is>
          <t>Positif semua skenario; RE+APC lebih rendah dari fase konstruksi</t>
        </is>
      </c>
    </row>
    <row r="6" ht="28" customHeight="1">
      <c r="B6" s="10" t="inlineStr">
        <is>
          <t>Industri Pengolahan</t>
        </is>
      </c>
      <c r="C6" s="20" t="n">
        <v>180</v>
      </c>
      <c r="D6" s="59" t="n">
        <v>-210</v>
      </c>
      <c r="E6" s="61" t="n">
        <v>150</v>
      </c>
      <c r="F6" s="60" t="n">
        <v>360</v>
      </c>
      <c r="G6" s="10" t="inlineStr">
        <is>
          <t>Berbalik positif dengan RE+APC — efek multiplier smelter hijau</t>
        </is>
      </c>
    </row>
    <row r="7" ht="28" customHeight="1">
      <c r="B7" s="12" t="inlineStr">
        <is>
          <t>Listrik &amp; Gas</t>
        </is>
      </c>
      <c r="C7" s="23" t="n">
        <v>161</v>
      </c>
      <c r="D7" s="59" t="n">
        <v>-45</v>
      </c>
      <c r="E7" s="61" t="n">
        <v>320</v>
      </c>
      <c r="F7" s="60" t="n">
        <v>365</v>
      </c>
      <c r="G7" s="12" t="inlineStr">
        <is>
          <t>RE+APC dorong permintaan energi bersih secara signifikan</t>
        </is>
      </c>
    </row>
    <row r="8" ht="28" customHeight="1">
      <c r="B8" s="10" t="inlineStr">
        <is>
          <t>Konstruksi</t>
        </is>
      </c>
      <c r="C8" s="20" t="n">
        <v>89</v>
      </c>
      <c r="D8" s="59" t="n">
        <v>-120</v>
      </c>
      <c r="E8" s="61" t="n">
        <v>85</v>
      </c>
      <c r="F8" s="60" t="n">
        <v>205</v>
      </c>
      <c r="G8" s="10" t="inlineStr">
        <is>
          <t>Konstruksi awal positif; BAU jangka panjang negatif</t>
        </is>
      </c>
    </row>
    <row r="9" ht="28" customHeight="1">
      <c r="B9" s="12" t="inlineStr">
        <is>
          <t>Perdagangan</t>
        </is>
      </c>
      <c r="C9" s="23" t="n">
        <v>55</v>
      </c>
      <c r="D9" s="59" t="n">
        <v>-88</v>
      </c>
      <c r="E9" s="61" t="n">
        <v>110</v>
      </c>
      <c r="F9" s="60" t="n">
        <v>198</v>
      </c>
      <c r="G9" s="12" t="inlineStr">
        <is>
          <t>RE+APC perbaiki distribusi nilai tambah ke sektor hilir</t>
        </is>
      </c>
    </row>
    <row r="10" ht="28" customHeight="1">
      <c r="B10" s="10" t="inlineStr">
        <is>
          <t>Transportasi</t>
        </is>
      </c>
      <c r="C10" s="20" t="n">
        <v>38</v>
      </c>
      <c r="D10" s="59" t="n">
        <v>-62</v>
      </c>
      <c r="E10" s="61" t="n">
        <v>95</v>
      </c>
      <c r="F10" s="60" t="n">
        <v>157</v>
      </c>
      <c r="G10" s="10" t="inlineStr">
        <is>
          <t>Efek tidak langsung dari aktivitas kawasan industri</t>
        </is>
      </c>
    </row>
    <row r="11" ht="28" customHeight="1">
      <c r="B11" s="12" t="inlineStr">
        <is>
          <t>Jasa Keuangan</t>
        </is>
      </c>
      <c r="C11" s="23" t="n">
        <v>210</v>
      </c>
      <c r="D11" s="61" t="n">
        <v>38</v>
      </c>
      <c r="E11" s="61" t="n">
        <v>420</v>
      </c>
      <c r="F11" s="60" t="n">
        <v>382</v>
      </c>
      <c r="G11" s="12" t="inlineStr">
        <is>
          <t>Paling diuntungkan RE+APC — pembiayaan proyek hijau meningkat</t>
        </is>
      </c>
    </row>
    <row r="12" ht="28" customHeight="1">
      <c r="B12" s="10" t="inlineStr">
        <is>
          <t>Jasa Lainnya</t>
        </is>
      </c>
      <c r="C12" s="20" t="n">
        <v>62</v>
      </c>
      <c r="D12" s="59" t="n">
        <v>-55</v>
      </c>
      <c r="E12" s="61" t="n">
        <v>98</v>
      </c>
      <c r="F12" s="60" t="n">
        <v>153</v>
      </c>
      <c r="G12" s="10" t="inlineStr">
        <is>
          <t>Masyarakat sekitar lebih terlayani dengan model RE+APC</t>
        </is>
      </c>
    </row>
    <row r="13" ht="8" customHeight="1"/>
    <row r="14" ht="22" customHeight="1">
      <c r="B14" s="62" t="inlineStr">
        <is>
          <t>⚠ Temuan kritis: Pertanian rugi Rp394M di BAU Th.9 → dampak negatif terbesar. Transisi ke RE+APC membalikkan mayoritas sektor menjadi positif (+Rp1.864M total).</t>
        </is>
      </c>
    </row>
  </sheetData>
  <mergeCells count="3">
    <mergeCell ref="B2:G2"/>
    <mergeCell ref="B14:G14"/>
    <mergeCell ref="B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</cols>
  <sheetData>
    <row r="1" ht="30" customHeight="1">
      <c r="B1" s="1" t="inlineStr">
        <is>
          <t>PANDUAN, METODOLOGI &amp; SUMBER DATA — LKTI HLHS PT IMIP 2026 TEMA 6</t>
        </is>
      </c>
    </row>
    <row r="2" ht="22" customHeight="1">
      <c r="B2" s="63" t="inlineStr">
        <is>
          <t>STRUKTUR WORKBOOK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</cols>
  <sheetData>
    <row r="1" ht="30" customHeight="1">
      <c r="B1" s="1" t="inlineStr">
        <is>
          <t>PANDUAN, METODOLOGI &amp; SUMBER DATA — LKTI HLHS PT IMIP 2026 TEMA 6</t>
        </is>
      </c>
    </row>
    <row r="2" ht="22" customHeight="1">
      <c r="B2" s="63" t="inlineStr">
        <is>
          <t>STRUKTUR WORKBOOK</t>
        </is>
      </c>
    </row>
    <row r="3" ht="30" customHeight="1">
      <c r="B3" s="64" t="inlineStr">
        <is>
          <t>Sheet 1: Overview Dashboard</t>
        </is>
      </c>
      <c r="C3" s="65" t="inlineStr">
        <is>
          <t>KPI cards (5 indikator kunci), ringkasan provinsi, breakdown proses, 4 temuan utama.</t>
        </is>
      </c>
    </row>
    <row r="4" ht="30" customHeight="1">
      <c r="B4" s="64" t="inlineStr">
        <is>
          <t>Sheet 2: Master Dataset</t>
        </is>
      </c>
      <c r="C4" s="65" t="inlineStr">
        <is>
          <t>87 smelter × 26 kolom real CGS V1. Filter aktif, heatmap GHG &amp; data bar emisi.</t>
        </is>
      </c>
    </row>
    <row r="5" ht="30" customHeight="1">
      <c r="B5" s="64" t="inlineStr">
        <is>
          <t>Sheet 3: Tren Emisi 2020–2050</t>
        </is>
      </c>
      <c r="C5" s="65" t="inlineStr">
        <is>
          <t>Proyeksi 31 tahun tiga skenario. Line chart interaktif. Tahun kunci disorot.</t>
        </is>
      </c>
    </row>
    <row r="6" ht="30" customHeight="1">
      <c r="B6" s="64" t="inlineStr">
        <is>
          <t>Sheet 4: Agregasi Provinsi</t>
        </is>
      </c>
      <c r="C6" s="65" t="inlineStr">
        <is>
          <t>Ringkasan 3 provinsi (all + operating). Pie chart + bar chart BAU vs NZE 2050.</t>
        </is>
      </c>
    </row>
    <row r="7" ht="30" customHeight="1">
      <c r="B7" s="64" t="inlineStr">
        <is>
          <t>Sheet 5: Power Source &amp; Energi</t>
        </is>
      </c>
      <c r="C7" s="65" t="inlineStr">
        <is>
          <t>Data aktual Coal/Diesel/PLN/Gas/Hydro/Solar (MW) per smelter dari CGS V1.</t>
        </is>
      </c>
    </row>
    <row r="8" ht="30" customHeight="1">
      <c r="B8" s="64" t="inlineStr">
        <is>
          <t>Sheet 6: Strategi NZE</t>
        </is>
      </c>
      <c r="C8" s="65" t="inlineStr">
        <is>
          <t>7 strategi: CAPEX, payback, kesiapan teknologi, prioritas, catatan implementasi.</t>
        </is>
      </c>
    </row>
    <row r="9" ht="30" customHeight="1">
      <c r="B9" s="64" t="inlineStr">
        <is>
          <t>Sheet 7: Dampak Sektoral</t>
        </is>
      </c>
      <c r="C9" s="65" t="inlineStr">
        <is>
          <t>Data CREA-CELIOS: 9 sektor PDRB Sulteng, BAU Th.1/Th.9 vs RE+APC.</t>
        </is>
      </c>
    </row>
    <row r="10" ht="22" customHeight="1">
      <c r="B10" s="63" t="inlineStr">
        <is>
          <t>SUMBER DATA UTAMA</t>
        </is>
      </c>
    </row>
    <row r="11" ht="30" customHeight="1">
      <c r="B11" s="64" t="inlineStr">
        <is>
          <t>CGS Nickel Smelter Dataset V1 (2025)</t>
        </is>
      </c>
      <c r="C11" s="65" t="inlineStr">
        <is>
          <t>Dataset primer riset lapangan + Sentinel-2. 106 smelter, GPS, MW per sumber, status 2025, 3–10 sitasi per baris.</t>
        </is>
      </c>
    </row>
    <row r="12" ht="30" customHeight="1">
      <c r="B12" s="64" t="inlineStr">
        <is>
          <t>CREA-CELIOS (2024)</t>
        </is>
      </c>
      <c r="C12" s="65" t="inlineStr">
        <is>
          <t>Indonesia Nickel Development Report: I-O Leontief, PDRB sektoral, proyeksi TK BAU vs RE+APC vs NZE.</t>
        </is>
      </c>
    </row>
    <row r="13" ht="30" customHeight="1">
      <c r="B13" s="64" t="inlineStr">
        <is>
          <t>IEEFA (Oktober 2024)</t>
        </is>
      </c>
      <c r="C13" s="65" t="inlineStr">
        <is>
          <t>Indonesia's Nickel Companies Need RE: GHG intensity per perusahaan publik, RE share aktual, data MW.</t>
        </is>
      </c>
    </row>
    <row r="14" ht="22" customHeight="1">
      <c r="B14" s="14" t="inlineStr">
        <is>
          <t>GHG INTENSITY REFERENCE (tCO₂/tNi)</t>
        </is>
      </c>
    </row>
    <row r="15" ht="30" customHeight="1">
      <c r="B15" s="64" t="inlineStr">
        <is>
          <t>NPI (RKEF/BF)</t>
        </is>
      </c>
      <c r="C15" s="65" t="inlineStr">
        <is>
          <t>68.4 tCO₂/tNi — rata-rata IEEFA 2024. 85–95% listrik dari PLTU batubara.</t>
        </is>
      </c>
    </row>
    <row r="16" ht="30" customHeight="1">
      <c r="B16" s="64" t="inlineStr">
        <is>
          <t>FeNi (RKEF)</t>
        </is>
      </c>
      <c r="C16" s="65" t="inlineStr">
        <is>
          <t>45.0 tCO₂/tNi — kadar Ni lebih tinggi, efisiensi energi sedikit lebih baik.</t>
        </is>
      </c>
    </row>
    <row r="17" ht="30" customHeight="1">
      <c r="B17" s="64" t="inlineStr">
        <is>
          <t>MHP (HPAL)</t>
        </is>
      </c>
      <c r="C17" s="65" t="inlineStr">
        <is>
          <t>10.5 tCO₂/tNi — jalur terendah emisi. Dominan Hydro (Harita Obi).</t>
        </is>
      </c>
    </row>
    <row r="18" ht="30" customHeight="1">
      <c r="B18" s="64" t="inlineStr">
        <is>
          <t>Ni Matte</t>
        </is>
      </c>
      <c r="C18" s="65" t="inlineStr">
        <is>
          <t>35.0 tCO₂/tNi — Vale menggunakan hydro ~18%, lebih efisien dari rata-rata nasional.</t>
        </is>
      </c>
    </row>
    <row r="19" ht="30" customHeight="1">
      <c r="B19" s="64" t="inlineStr">
        <is>
          <t>GHG_Adj Formula</t>
        </is>
      </c>
      <c r="C19" s="65" t="inlineStr">
        <is>
          <t>GHG_Adj = GHG_base × (1 − RE_share%/100 × 0.85). Faktor 0.85 = emisi residual non-energi.</t>
        </is>
      </c>
    </row>
    <row r="20" ht="22" customHeight="1">
      <c r="B20" s="66" t="inlineStr">
        <is>
          <t>KETERBATASAN</t>
        </is>
      </c>
    </row>
    <row r="21" ht="30" customHeight="1">
      <c r="B21" s="64" t="inlineStr">
        <is>
          <t>Estimasi vs Pengukuran</t>
        </is>
      </c>
      <c r="C21" s="65" t="inlineStr">
        <is>
          <t>67 dari 87 smelter pakai benchmark komoditas. Validasi via KLHK/PROPER/sustainability report.</t>
        </is>
      </c>
    </row>
    <row r="22" ht="30" customHeight="1">
      <c r="B22" s="64" t="inlineStr">
        <is>
          <t>Proyeksi 2030–2050</t>
        </is>
      </c>
      <c r="C22" s="65" t="inlineStr">
        <is>
          <t>Asumsi: BAU +3.5%/thn, NZE −6%/thn, JETP −4.5%/thn. Tidak termasuk perubahan kebijakan mendadak.</t>
        </is>
      </c>
    </row>
    <row r="23" ht="30" customHeight="1">
      <c r="B23" s="64" t="inlineStr">
        <is>
          <t>Disclaimer</t>
        </is>
      </c>
      <c r="C23" s="65" t="inlineStr">
        <is>
          <t>Data prototype LKTI. Untuk sitasi ilmiah, gunakan sumber primer CGS + IEEFA + CREA-CELIOS di Master Dataset.</t>
        </is>
      </c>
    </row>
  </sheetData>
  <mergeCells count="5">
    <mergeCell ref="B2:C2"/>
    <mergeCell ref="B20:C20"/>
    <mergeCell ref="B10:C1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2026-05-11T10:50:34Z</dcterms:created>
  <dcterms:modified xmlns:dcterms="http://purl.org/dc/terms/" xmlns:xsi="http://www.w3.org/2001/XMLSchema-instance" xsi:type="dcterms:W3CDTF">2026-05-11T10:54:15Z</dcterms:modified>
</cp:coreProperties>
</file>