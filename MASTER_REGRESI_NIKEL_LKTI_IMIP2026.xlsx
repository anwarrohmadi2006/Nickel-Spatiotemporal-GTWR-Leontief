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STER_REGRESI" sheetId="2" state="visible" r:id="rId2"/>
    <sheet xmlns:r="http://schemas.openxmlformats.org/officeDocument/2006/relationships" name="REGRESI_EMISI_INTENSITAS" sheetId="3" state="visible" r:id="rId3"/>
    <sheet xmlns:r="http://schemas.openxmlformats.org/officeDocument/2006/relationships" name="REGRESI_PROYEKSI" sheetId="4" state="visible" r:id="rId4"/>
    <sheet xmlns:r="http://schemas.openxmlformats.org/officeDocument/2006/relationships" name="REGRESI_STRATEGI" sheetId="5" state="visible" r:id="rId5"/>
    <sheet xmlns:r="http://schemas.openxmlformats.org/officeDocument/2006/relationships" name="REGRESI_DAMPAK_EKONOMI" sheetId="6" state="visible" r:id="rId6"/>
    <sheet xmlns:r="http://schemas.openxmlformats.org/officeDocument/2006/relationships" name="REGRESI_BAURAN_ENERGI" sheetId="7" state="visible" r:id="rId7"/>
    <sheet xmlns:r="http://schemas.openxmlformats.org/officeDocument/2006/relationships" name="PANDUAN_REGRE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70AD47"/>
      <sz val="10"/>
    </font>
    <font>
      <name val="Consolas"/>
      <b val="1"/>
      <color rgb="001F3864"/>
      <sz val="10"/>
    </font>
    <font>
      <name val="Consolas"/>
      <color rgb="001F1F1F"/>
      <sz val="9"/>
    </font>
    <font>
      <name val="Consolas"/>
      <i val="1"/>
      <color rgb="00005500"/>
      <sz val="9"/>
    </font>
    <font>
      <name val="Calibri"/>
      <b val="1"/>
      <color rgb="001F3864"/>
      <sz val="16"/>
    </font>
    <font>
      <name val="Calibri"/>
      <b val="1"/>
      <color rgb="001F3864"/>
      <sz val="18"/>
    </font>
    <font>
      <name val="Calibri"/>
      <color rgb="007F7F7F"/>
      <sz val="8"/>
    </font>
    <font>
      <name val="Calibri"/>
      <b val="1"/>
      <color rgb="001F3864"/>
      <sz val="12"/>
    </font>
  </fonts>
  <fills count="1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C0"/>
      </patternFill>
    </fill>
    <fill>
      <patternFill patternType="solid">
        <fgColor rgb="00F0FFF0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AF4FB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4F4F4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14" fillId="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1" fillId="9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1" fillId="1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left" vertical="center" wrapText="1" indent="1"/>
    </xf>
    <xf numFmtId="0" fontId="1" fillId="11" borderId="0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1" fillId="1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 indent="1"/>
    </xf>
    <xf numFmtId="0" fontId="1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1"/>
    </xf>
    <xf numFmtId="0" fontId="10" fillId="2" borderId="0" applyAlignment="1" pivotButton="0" quotePrefix="0" xfId="0">
      <alignment horizontal="left" vertical="center" wrapText="1" indent="1"/>
    </xf>
    <xf numFmtId="0" fontId="11" fillId="16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3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55" customWidth="1" min="4" max="4"/>
    <col width="22" customWidth="1" min="5" max="5"/>
    <col width="12" customWidth="1" min="6" max="6"/>
  </cols>
  <sheetData>
    <row r="1" ht="10" customHeight="1"/>
    <row r="2" ht="48" customHeight="1">
      <c r="B2" s="1" t="inlineStr">
        <is>
          <t>MASTER DATASET PEMODELAN REGRESI — EMISI GHG INDUSTRI SMELTER NIKEL INDONESIA</t>
        </is>
      </c>
    </row>
    <row r="3" ht="14" customHeight="1"/>
    <row r="4" ht="20" customHeight="1">
      <c r="B4" s="2" t="inlineStr">
        <is>
          <t>Tema 6 LKTI HLHS PT IMIP 2026 | Strategi Penurunan Emisi menuju Net Zero Emission | Sumber: IEEFA (2024), CREA-CELIOS (2024), CGS Univ. Maryland (2025), WRI-Bappenas (2025)</t>
        </is>
      </c>
    </row>
    <row r="6" ht="22" customHeight="1">
      <c r="B6" s="3" t="inlineStr">
        <is>
          <t>71</t>
        </is>
      </c>
      <c r="C6" s="3" t="inlineStr">
        <is>
          <t>15.3 Mt</t>
        </is>
      </c>
      <c r="D6" s="3" t="inlineStr">
        <is>
          <t>38.5 Mt</t>
        </is>
      </c>
      <c r="E6" s="4" t="inlineStr">
        <is>
          <t>43%</t>
        </is>
      </c>
      <c r="F6" s="4" t="inlineStr">
        <is>
          <t>28.7</t>
        </is>
      </c>
      <c r="G6" s="5" t="inlineStr">
        <is>
          <t>69.9</t>
        </is>
      </c>
    </row>
    <row r="7" ht="22" customHeight="1">
      <c r="B7" s="6" t="inlineStr">
        <is>
          <t>Smelter Terdata</t>
        </is>
      </c>
      <c r="C7" s="6" t="inlineStr">
        <is>
          <t>Emisi CO₂ 2023</t>
        </is>
      </c>
      <c r="D7" s="6" t="inlineStr">
        <is>
          <t>Proyeksi 2028</t>
        </is>
      </c>
      <c r="E7" s="7" t="inlineStr">
        <is>
          <t>Potensi Reduksi</t>
        </is>
      </c>
      <c r="F7" s="7" t="inlineStr">
        <is>
          <t>GHG Terbaik</t>
        </is>
      </c>
      <c r="G7" s="8" t="inlineStr">
        <is>
          <t>GHG Terburuk</t>
        </is>
      </c>
    </row>
    <row r="8" ht="22" customHeight="1">
      <c r="B8" s="9" t="inlineStr">
        <is>
          <t>3 Provinsi Sulawesi</t>
        </is>
      </c>
      <c r="C8" s="9" t="inlineStr">
        <is>
          <t>4 Perusahaan Listed</t>
        </is>
      </c>
      <c r="D8" s="9" t="inlineStr">
        <is>
          <t>Skenario BAU</t>
        </is>
      </c>
      <c r="E8" s="10" t="inlineStr">
        <is>
          <t>Jika adopsi standar Vale</t>
        </is>
      </c>
      <c r="F8" s="10" t="inlineStr">
        <is>
          <t>tCO₂/tNi (Vale PLTA)</t>
        </is>
      </c>
      <c r="G8" s="11" t="inlineStr">
        <is>
          <t>tCO₂/tNi (Antam PLTU)</t>
        </is>
      </c>
    </row>
    <row r="9" ht="22" customHeight="1">
      <c r="B9" s="12" t="inlineStr">
        <is>
          <t>CGS 2025</t>
        </is>
      </c>
      <c r="C9" s="12" t="inlineStr">
        <is>
          <t>IEEFA 2024</t>
        </is>
      </c>
      <c r="D9" s="12" t="inlineStr">
        <is>
          <t>IEEFA 2024</t>
        </is>
      </c>
      <c r="E9" s="13" t="inlineStr">
        <is>
          <t>IEEFA 2024</t>
        </is>
      </c>
      <c r="F9" s="13" t="inlineStr">
        <is>
          <t>IEEFA 2024</t>
        </is>
      </c>
      <c r="G9" s="14" t="inlineStr">
        <is>
          <t>IEEFA 2024</t>
        </is>
      </c>
    </row>
    <row r="11" ht="12" customHeight="1"/>
    <row r="12" ht="22" customHeight="1">
      <c r="B12" s="15" t="inlineStr">
        <is>
          <t>NAVIGASI SHEET — Klik judul sheet untuk akses langsung</t>
        </is>
      </c>
    </row>
    <row r="13" ht="20" customHeight="1">
      <c r="A13" s="16" t="inlineStr">
        <is>
          <t>No</t>
        </is>
      </c>
      <c r="B13" s="16" t="inlineStr">
        <is>
          <t>Sheet</t>
        </is>
      </c>
      <c r="C13" s="16" t="inlineStr">
        <is>
          <t>Nama</t>
        </is>
      </c>
      <c r="D13" s="16" t="inlineStr">
        <is>
          <t>Deskripsi Isi</t>
        </is>
      </c>
      <c r="E13" s="16" t="inlineStr">
        <is>
          <t>Variabel Kunci</t>
        </is>
      </c>
      <c r="F13" s="16" t="inlineStr">
        <is>
          <t>Baris Data</t>
        </is>
      </c>
    </row>
    <row r="14" ht="22" customHeight="1">
      <c r="A14" s="17" t="n">
        <v>1</v>
      </c>
      <c r="B14" s="18" t="inlineStr">
        <is>
          <t>MASTER_REGRESI</t>
        </is>
      </c>
      <c r="C14" s="19" t="inlineStr">
        <is>
          <t>Data Induk Smelter Listed</t>
        </is>
      </c>
      <c r="D14" s="19" t="inlineStr">
        <is>
          <t>87 kolom fitur lengkap + feature engineering siap OLS</t>
        </is>
      </c>
      <c r="E14" s="19" t="inlineStr">
        <is>
          <t>GHG_Intensity, Log_Output, RE_Share, Rasio_Batubara, Skor_Risiko</t>
        </is>
      </c>
      <c r="F14" s="17" t="inlineStr">
        <is>
          <t>4 obs + total</t>
        </is>
      </c>
    </row>
    <row r="15" ht="22" customHeight="1">
      <c r="A15" s="17" t="n">
        <v>2</v>
      </c>
      <c r="B15" s="18" t="inlineStr">
        <is>
          <t>REGRESI_EMISI_INTENSITAS</t>
        </is>
      </c>
      <c r="C15" s="19" t="inlineStr">
        <is>
          <t>Model 1: GHG Intensity</t>
        </is>
      </c>
      <c r="D15" s="19" t="inlineStr">
        <is>
          <t>Y: GHG_Intensity vs X: Teknologi, Log_Output, RE, Rasio_Batubara</t>
        </is>
      </c>
      <c r="E15" s="19" t="inlineStr">
        <is>
          <t>R², Residual, SSE, Fitted_Y</t>
        </is>
      </c>
      <c r="F15" s="17" t="inlineStr">
        <is>
          <t>4 obs + statistik</t>
        </is>
      </c>
    </row>
    <row r="16" ht="22" customHeight="1">
      <c r="A16" s="17" t="n">
        <v>3</v>
      </c>
      <c r="B16" s="18" t="inlineStr">
        <is>
          <t>REGRESI_PROYEKSI</t>
        </is>
      </c>
      <c r="C16" s="19" t="inlineStr">
        <is>
          <t>Model 2: Panel Proyeksi</t>
        </is>
      </c>
      <c r="D16" s="19" t="inlineStr">
        <is>
          <t>Y: Emisi_MtCO2 vs waktu | 3 skenario BAU/JETP/NZE 2023-2060</t>
        </is>
      </c>
      <c r="E16" s="19" t="inlineStr">
        <is>
          <t>t_linear, t², D_JETP, D_NZE, ln_Emisi</t>
        </is>
      </c>
      <c r="F16" s="17" t="inlineStr">
        <is>
          <t>10 tahun × 3 = 30 obs</t>
        </is>
      </c>
    </row>
    <row r="17" ht="22" customHeight="1">
      <c r="A17" s="17" t="n">
        <v>4</v>
      </c>
      <c r="B17" s="18" t="inlineStr">
        <is>
          <t>REGRESI_STRATEGI</t>
        </is>
      </c>
      <c r="C17" s="19" t="inlineStr">
        <is>
          <t>Model 3: DSS Skor Strategi</t>
        </is>
      </c>
      <c r="D17" s="19" t="inlineStr">
        <is>
          <t>Y: Skor_DSS &amp; Prioritas vs X: CAPEX, Payback, Kesiapan</t>
        </is>
      </c>
      <c r="E17" s="19" t="inlineStr">
        <is>
          <t>Skor_DSS, Nilai_Teknis, Nilai_Biaya, Prioritas</t>
        </is>
      </c>
      <c r="F17" s="17" t="inlineStr">
        <is>
          <t>7 strategi</t>
        </is>
      </c>
    </row>
    <row r="18" ht="22" customHeight="1">
      <c r="A18" s="17" t="n">
        <v>5</v>
      </c>
      <c r="B18" s="18" t="inlineStr">
        <is>
          <t>REGRESI_DAMPAK_EKONOMI</t>
        </is>
      </c>
      <c r="C18" s="19" t="inlineStr">
        <is>
          <t>Model 4: Dampak PDB &amp; TK</t>
        </is>
      </c>
      <c r="D18" s="19" t="inlineStr">
        <is>
          <t>Y: PDB, TK vs Skenario (0=BAU, 1=RE+APC)</t>
        </is>
      </c>
      <c r="E18" s="19" t="inlineStr">
        <is>
          <t>Delta_PDB, Delta_TK, ROI_Transisi</t>
        </is>
      </c>
      <c r="F18" s="17" t="inlineStr">
        <is>
          <t>8 obs (4 titik × 2 skenario)</t>
        </is>
      </c>
    </row>
    <row r="19" ht="22" customHeight="1">
      <c r="A19" s="17" t="n">
        <v>6</v>
      </c>
      <c r="B19" s="18" t="inlineStr">
        <is>
          <t>REGRESI_BAURAN_ENERGI</t>
        </is>
      </c>
      <c r="C19" s="19" t="inlineStr">
        <is>
          <t>Model 5: Bauran Energi</t>
        </is>
      </c>
      <c r="D19" s="19" t="inlineStr">
        <is>
          <t>Y: GHG_Intensity vs RE_Share, Rasio_Batubara | Validasi H1-H4</t>
        </is>
      </c>
      <c r="E19" s="19" t="inlineStr">
        <is>
          <t>RE_Share, Rasio_Batubara, Proyeksi_GHG_2028</t>
        </is>
      </c>
      <c r="F19" s="17" t="inlineStr">
        <is>
          <t>4 obs + hipotesis</t>
        </is>
      </c>
    </row>
    <row r="20" ht="22" customHeight="1">
      <c r="A20" s="17" t="n">
        <v>7</v>
      </c>
      <c r="B20" s="18" t="inlineStr">
        <is>
          <t>PANDUAN_REGRESI</t>
        </is>
      </c>
      <c r="C20" s="19" t="inlineStr">
        <is>
          <t>Kode Python + Interpretasi</t>
        </is>
      </c>
      <c r="D20" s="19" t="inlineStr">
        <is>
          <t>Kode statsmodels siap-run + panduan interpretasi output</t>
        </is>
      </c>
      <c r="E20" s="19" t="inlineStr">
        <is>
          <t>OLS, VIF, Jarque-Bera, Ordinal Logit</t>
        </is>
      </c>
      <c r="F20" s="17" t="inlineStr">
        <is>
          <t>—</t>
        </is>
      </c>
    </row>
    <row r="22" ht="14" customHeight="1"/>
    <row r="23">
      <c r="B23" s="20" t="inlineStr">
        <is>
          <t>Sumber Data: IEEFA (2024), CREA-CELIOS (2024), CGS Univ. Maryland (2025), WRI-Bappenas LCDI (2025) | Generated: Mei 2026</t>
        </is>
      </c>
    </row>
  </sheetData>
  <mergeCells count="4">
    <mergeCell ref="B2:F2"/>
    <mergeCell ref="B4:F4"/>
    <mergeCell ref="B12:F12"/>
    <mergeCell ref="B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18" customWidth="1" min="4" max="4"/>
    <col width="14" customWidth="1" min="5" max="5"/>
    <col width="14" customWidth="1" min="6" max="6"/>
    <col width="1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12" customWidth="1" min="26" max="26"/>
    <col width="16" customWidth="1" min="27" max="27"/>
    <col width="28" customWidth="1" min="28" max="28"/>
    <col width="32" customWidth="1" min="29" max="29"/>
  </cols>
  <sheetData>
    <row r="1" ht="28" customHeight="1">
      <c r="A1" s="21" t="inlineStr">
        <is>
          <t>MASTER DATASET PEMODELAN REGRESI — EMISI GHG INDUSTRI SMELTER NIKEL INDONESIA</t>
        </is>
      </c>
    </row>
    <row r="2" ht="18" customHeight="1">
      <c r="A2" s="2" t="inlineStr">
        <is>
          <t>Sumber: IEEFA (2024), CREA-CELIOS (2024), CGS Univ. Maryland (2025), WRI-Bappenas (2025) | Variabel dependen: GHG_Intensity_tCO2perNi &amp; Total_Emisi_MtCO2 | Unit: perusahaan smelter listed</t>
        </is>
      </c>
    </row>
    <row r="3" ht="42" customHeight="1">
      <c r="A3" s="16" t="inlineStr">
        <is>
          <t>No</t>
        </is>
      </c>
      <c r="B3" s="16" t="inlineStr">
        <is>
          <t>ID_Perusahaan</t>
        </is>
      </c>
      <c r="C3" s="16" t="inlineStr">
        <is>
          <t>Nama_Perusahaan</t>
        </is>
      </c>
      <c r="D3" s="16" t="inlineStr">
        <is>
          <t>Provinsi_Utama</t>
        </is>
      </c>
      <c r="E3" s="16" t="inlineStr">
        <is>
          <t>Status_Operasi</t>
        </is>
      </c>
      <c r="F3" s="16" t="inlineStr">
        <is>
          <t>Teknologi_Proses</t>
        </is>
      </c>
      <c r="G3" s="16" t="inlineStr">
        <is>
          <t>Teknologi_Enc</t>
        </is>
      </c>
      <c r="H3" s="16" t="inlineStr">
        <is>
          <t>Output_Ni_ton_2023</t>
        </is>
      </c>
      <c r="I3" s="16" t="inlineStr">
        <is>
          <t>Output_Ni_ton_2028</t>
        </is>
      </c>
      <c r="J3" s="16" t="inlineStr">
        <is>
          <t>Kapasitas_PLTU_MW</t>
        </is>
      </c>
      <c r="K3" s="16" t="inlineStr">
        <is>
          <t>Kapasitas_EBT_MW</t>
        </is>
      </c>
      <c r="L3" s="16" t="inlineStr">
        <is>
          <t>Total_Kapasitas_MW</t>
        </is>
      </c>
      <c r="M3" s="16" t="inlineStr">
        <is>
          <t>RE_Share_2023_pct</t>
        </is>
      </c>
      <c r="N3" s="16" t="inlineStr">
        <is>
          <t>RE_Share_Target2028_pct</t>
        </is>
      </c>
      <c r="O3" s="16" t="inlineStr">
        <is>
          <t>GHG_Intensity_2023_tCO2perNi</t>
        </is>
      </c>
      <c r="P3" s="16" t="inlineStr">
        <is>
          <t>Total_Emisi_2023_MtCO2</t>
        </is>
      </c>
      <c r="Q3" s="16" t="inlineStr">
        <is>
          <t>Total_Emisi_2028_BAU_MtCO2</t>
        </is>
      </c>
      <c r="R3" s="16" t="inlineStr">
        <is>
          <t>Total_Emisi_2028_ValeStd_MtCO2</t>
        </is>
      </c>
      <c r="S3" s="16" t="inlineStr">
        <is>
          <t>Reduksi_Emisi_Potensial_MtCO2</t>
        </is>
      </c>
      <c r="T3" s="16" t="inlineStr">
        <is>
          <t>Reduksi_Emisi_Pct</t>
        </is>
      </c>
      <c r="U3" s="16" t="inlineStr">
        <is>
          <t>Log_Output_2023</t>
        </is>
      </c>
      <c r="V3" s="16" t="inlineStr">
        <is>
          <t>Log_Output_2028</t>
        </is>
      </c>
      <c r="W3" s="16" t="inlineStr">
        <is>
          <t>Rasio_Batubara</t>
        </is>
      </c>
      <c r="X3" s="16" t="inlineStr">
        <is>
          <t>Output_per_MW</t>
        </is>
      </c>
      <c r="Y3" s="16" t="inlineStr">
        <is>
          <t>Delta_RE_Share</t>
        </is>
      </c>
      <c r="Z3" s="16" t="inlineStr">
        <is>
          <t>Skor_Risiko_Emisi</t>
        </is>
      </c>
      <c r="AA3" s="16" t="inlineStr">
        <is>
          <t>Label_Risiko</t>
        </is>
      </c>
      <c r="AB3" s="16" t="inlineStr">
        <is>
          <t>Status_Transisi_EBT</t>
        </is>
      </c>
      <c r="AC3" s="16" t="inlineStr">
        <is>
          <t>Catatan</t>
        </is>
      </c>
    </row>
    <row r="4" ht="60" customHeight="1">
      <c r="A4" s="22" t="n">
        <v>1</v>
      </c>
      <c r="B4" s="17" t="inlineStr">
        <is>
          <t>ANT</t>
        </is>
      </c>
      <c r="C4" s="19" t="inlineStr">
        <is>
          <t>PT Aneka Tambang (Antam)</t>
        </is>
      </c>
      <c r="D4" s="17" t="inlineStr">
        <is>
          <t>Sulawesi Tenggara</t>
        </is>
      </c>
      <c r="E4" s="17" t="inlineStr">
        <is>
          <t>Operating</t>
        </is>
      </c>
      <c r="F4" s="19" t="inlineStr">
        <is>
          <t>RKEF</t>
        </is>
      </c>
      <c r="G4" s="22" t="n">
        <v>1</v>
      </c>
      <c r="H4" s="22" t="n">
        <v>21473</v>
      </c>
      <c r="I4" s="22" t="n">
        <v>40500</v>
      </c>
      <c r="J4" s="22" t="n">
        <v>60</v>
      </c>
      <c r="K4" s="23" t="n">
        <v>0.7</v>
      </c>
      <c r="L4" s="22" t="n">
        <v>60.7</v>
      </c>
      <c r="M4" s="24" t="n">
        <v>0.012</v>
      </c>
      <c r="N4" s="24" t="n">
        <v>0.3</v>
      </c>
      <c r="O4" s="25" t="n">
        <v>69.90000000000001</v>
      </c>
      <c r="P4" s="26" t="n">
        <v>1.522</v>
      </c>
      <c r="Q4" s="26" t="n">
        <v>2.83</v>
      </c>
      <c r="R4" s="26" t="n">
        <v>1.163</v>
      </c>
      <c r="S4" s="26" t="n">
        <v>1.667</v>
      </c>
      <c r="T4" s="27" t="n">
        <v>0.5890459363957598</v>
      </c>
      <c r="U4" s="28" t="n">
        <v>9.974600000000001</v>
      </c>
      <c r="V4" s="28" t="n">
        <v>10.6091</v>
      </c>
      <c r="W4" s="24" t="n">
        <v>0.9885</v>
      </c>
      <c r="X4" s="23" t="n">
        <v>353.8</v>
      </c>
      <c r="Y4" s="24" t="n">
        <v>0.288</v>
      </c>
      <c r="Z4" s="29" t="n">
        <v>4</v>
      </c>
      <c r="AA4" s="30" t="inlineStr">
        <is>
          <t>Sangat Tinggi</t>
        </is>
      </c>
      <c r="AB4" s="19" t="inlineStr">
        <is>
          <t>Transisi ke PLN Gas (rencana)</t>
        </is>
      </c>
      <c r="AC4" s="19" t="inlineStr">
        <is>
          <t>PLTU batu bara captive 60 MW; GHG tertinggi; rencana switch PLN gas</t>
        </is>
      </c>
    </row>
    <row r="5" ht="60" customHeight="1">
      <c r="A5" s="22" t="n">
        <v>2</v>
      </c>
      <c r="B5" s="17" t="inlineStr">
        <is>
          <t>MBMA</t>
        </is>
      </c>
      <c r="C5" s="19" t="inlineStr">
        <is>
          <t>Merdeka Battery Materials (MBMA)</t>
        </is>
      </c>
      <c r="D5" s="17" t="inlineStr">
        <is>
          <t>Sulawesi Tengah</t>
        </is>
      </c>
      <c r="E5" s="17" t="inlineStr">
        <is>
          <t>Operating</t>
        </is>
      </c>
      <c r="F5" s="19" t="inlineStr">
        <is>
          <t>RKEF+Conv</t>
        </is>
      </c>
      <c r="G5" s="22" t="n">
        <v>3</v>
      </c>
      <c r="H5" s="22" t="n">
        <v>95450</v>
      </c>
      <c r="I5" s="22" t="n">
        <v>258000</v>
      </c>
      <c r="J5" s="22" t="n">
        <v>480</v>
      </c>
      <c r="K5" s="23" t="n">
        <v>23.5</v>
      </c>
      <c r="L5" s="22" t="n">
        <v>503.5</v>
      </c>
      <c r="M5" s="24" t="n">
        <v>0.049</v>
      </c>
      <c r="N5" s="24" t="n">
        <v>0.2</v>
      </c>
      <c r="O5" s="31" t="n">
        <v>56.9</v>
      </c>
      <c r="P5" s="32" t="n">
        <v>3.817</v>
      </c>
      <c r="Q5" s="32" t="n">
        <v>6.707</v>
      </c>
      <c r="R5" s="32" t="n">
        <v>4.229</v>
      </c>
      <c r="S5" s="32" t="n">
        <v>2.478</v>
      </c>
      <c r="T5" s="33" t="n">
        <v>0.3694647383330849</v>
      </c>
      <c r="U5" s="28" t="n">
        <v>11.4664</v>
      </c>
      <c r="V5" s="28" t="n">
        <v>12.4607</v>
      </c>
      <c r="W5" s="24" t="n">
        <v>0.9533</v>
      </c>
      <c r="X5" s="23" t="n">
        <v>189.6</v>
      </c>
      <c r="Y5" s="24" t="n">
        <v>0.151</v>
      </c>
      <c r="Z5" s="34" t="n">
        <v>3</v>
      </c>
      <c r="AA5" s="35" t="inlineStr">
        <is>
          <t>Tinggi</t>
        </is>
      </c>
      <c r="AB5" s="19" t="inlineStr">
        <is>
          <t>Solar panel rencana (kapasitas belum tetap)</t>
        </is>
      </c>
      <c r="AC5" s="19" t="inlineStr">
        <is>
          <t>Kombinasi RKEF + konversi; PLTU 480 MW; ekspansi besar ke 258rb ton Ni</t>
        </is>
      </c>
    </row>
    <row r="6" ht="60" customHeight="1">
      <c r="A6" s="22" t="n">
        <v>3</v>
      </c>
      <c r="B6" s="17" t="inlineStr">
        <is>
          <t>TBP</t>
        </is>
      </c>
      <c r="C6" s="19" t="inlineStr">
        <is>
          <t>Trimegah Bangun Persada / Harita (TBP)</t>
        </is>
      </c>
      <c r="D6" s="17" t="inlineStr">
        <is>
          <t>Maluku Utara</t>
        </is>
      </c>
      <c r="E6" s="17" t="inlineStr">
        <is>
          <t>Operating</t>
        </is>
      </c>
      <c r="F6" s="19" t="inlineStr">
        <is>
          <t>RKEF+HPAL</t>
        </is>
      </c>
      <c r="G6" s="22" t="n">
        <v>3</v>
      </c>
      <c r="H6" s="22" t="n">
        <v>165193</v>
      </c>
      <c r="I6" s="22" t="n">
        <v>425000</v>
      </c>
      <c r="J6" s="22" t="n">
        <v>2080</v>
      </c>
      <c r="K6" s="23" t="n">
        <v>110.2</v>
      </c>
      <c r="L6" s="22" t="n">
        <v>2190.2</v>
      </c>
      <c r="M6" s="24" t="n">
        <v>0.053</v>
      </c>
      <c r="N6" s="24" t="n">
        <v>0.4</v>
      </c>
      <c r="O6" s="25" t="n">
        <v>68.40000000000001</v>
      </c>
      <c r="P6" s="26" t="n">
        <v>7.982</v>
      </c>
      <c r="Q6" s="26" t="n">
        <v>22.459</v>
      </c>
      <c r="R6" s="26" t="n">
        <v>10.357</v>
      </c>
      <c r="S6" s="26" t="n">
        <v>12.102</v>
      </c>
      <c r="T6" s="27" t="n">
        <v>0.5388485685026048</v>
      </c>
      <c r="U6" s="28" t="n">
        <v>12.0149</v>
      </c>
      <c r="V6" s="28" t="n">
        <v>12.9598</v>
      </c>
      <c r="W6" s="24" t="n">
        <v>0.9497</v>
      </c>
      <c r="X6" s="23" t="n">
        <v>75.40000000000001</v>
      </c>
      <c r="Y6" s="24" t="n">
        <v>0.347</v>
      </c>
      <c r="Z6" s="29" t="n">
        <v>4</v>
      </c>
      <c r="AA6" s="30" t="inlineStr">
        <is>
          <t>Sangat Tinggi</t>
        </is>
      </c>
      <c r="AB6" s="19" t="inlineStr">
        <is>
          <t>300 MW Solar PV mulai 2025</t>
        </is>
      </c>
      <c r="AC6" s="19" t="inlineStr">
        <is>
          <t>Volume terbesar; PLTU 2080 MW; 300 MW PLTS 2025; jika RE target tercapai GHG turun signifikan</t>
        </is>
      </c>
    </row>
    <row r="7" ht="60" customHeight="1">
      <c r="A7" s="22" t="n">
        <v>4</v>
      </c>
      <c r="B7" s="17" t="inlineStr">
        <is>
          <t>VALE</t>
        </is>
      </c>
      <c r="C7" s="19" t="inlineStr">
        <is>
          <t>PT Vale Indonesia (Vale)</t>
        </is>
      </c>
      <c r="D7" s="17" t="inlineStr">
        <is>
          <t>Sulawesi Selatan</t>
        </is>
      </c>
      <c r="E7" s="17" t="inlineStr">
        <is>
          <t>Operating</t>
        </is>
      </c>
      <c r="F7" s="19" t="inlineStr">
        <is>
          <t>RKEF+Conv</t>
        </is>
      </c>
      <c r="G7" s="22" t="n">
        <v>3</v>
      </c>
      <c r="H7" s="22" t="n">
        <v>70728</v>
      </c>
      <c r="I7" s="22" t="n">
        <v>323000</v>
      </c>
      <c r="J7" s="22" t="n">
        <v>44</v>
      </c>
      <c r="K7" s="23" t="n">
        <v>365</v>
      </c>
      <c r="L7" s="22" t="n">
        <v>409</v>
      </c>
      <c r="M7" s="24" t="n">
        <v>0.301</v>
      </c>
      <c r="N7" s="24" t="n">
        <v>0.35</v>
      </c>
      <c r="O7" s="36" t="n">
        <v>28.7</v>
      </c>
      <c r="P7" s="37" t="n">
        <v>2.032</v>
      </c>
      <c r="Q7" s="37" t="n">
        <v>6.509</v>
      </c>
      <c r="R7" s="37" t="n">
        <v>6.509</v>
      </c>
      <c r="S7" s="37" t="n">
        <v>0</v>
      </c>
      <c r="T7" s="38" t="n">
        <v>0</v>
      </c>
      <c r="U7" s="28" t="n">
        <v>11.1666</v>
      </c>
      <c r="V7" s="28" t="n">
        <v>12.6854</v>
      </c>
      <c r="W7" s="24" t="n">
        <v>0.1076</v>
      </c>
      <c r="X7" s="23" t="n">
        <v>172.9</v>
      </c>
      <c r="Y7" s="24" t="n">
        <v>0.049</v>
      </c>
      <c r="Z7" s="39" t="n">
        <v>1</v>
      </c>
      <c r="AA7" s="40" t="inlineStr">
        <is>
          <t>Rendah</t>
        </is>
      </c>
      <c r="AB7" s="19" t="inlineStr">
        <is>
          <t>365 MW PLTA beroperasi — benchmark terbaik</t>
        </is>
      </c>
      <c r="AC7" s="19" t="inlineStr">
        <is>
          <t>GHG terbaik 28.7 tCO2/tNi berkat 365 MW PLTA (3 bendungan); benchmark NZE industri nikel</t>
        </is>
      </c>
    </row>
    <row r="8" ht="20" customHeight="1">
      <c r="A8" t="inlineStr">
        <is>
          <t>—</t>
        </is>
      </c>
      <c r="B8" s="41" t="inlineStr">
        <is>
          <t>TOTAL / RATA-RATA INDUSTRI</t>
        </is>
      </c>
      <c r="H8" s="42">
        <f>SUM(H4:H7)</f>
        <v/>
      </c>
      <c r="I8" s="42">
        <f>SUM(I4:I7)</f>
        <v/>
      </c>
      <c r="P8" s="43">
        <f>SUM(P4:P7)</f>
        <v/>
      </c>
      <c r="Q8" s="43">
        <f>SUM(Q4:Q7)</f>
        <v/>
      </c>
      <c r="R8" s="43">
        <f>SUM(R4:R7)</f>
        <v/>
      </c>
      <c r="S8" s="43">
        <f>SUM(S4:S7)</f>
        <v/>
      </c>
      <c r="T8" s="43">
        <f>SUM(T4:T7)</f>
        <v/>
      </c>
    </row>
    <row r="10">
      <c r="A10" s="44" t="inlineStr">
        <is>
          <t>KETERANGAN VARIABEL PEMODELAN REGRESI</t>
        </is>
      </c>
    </row>
    <row r="11" ht="18" customHeight="1">
      <c r="A11" s="45" t="inlineStr">
        <is>
          <t>VARIABEL DEPENDEN (Y)</t>
        </is>
      </c>
      <c r="B11" s="46" t="n"/>
      <c r="C11" s="47" t="n"/>
      <c r="D11" s="45" t="inlineStr"/>
      <c r="E11" s="46" t="n"/>
      <c r="F11" s="47" t="n"/>
      <c r="G11" s="45" t="inlineStr">
        <is>
          <t>Variabel yang diprediksi oleh model regresi</t>
        </is>
      </c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7" t="n"/>
    </row>
    <row r="12" ht="18" customHeight="1">
      <c r="A12" s="19" t="inlineStr">
        <is>
          <t>GHG_Intensity_2023_tCO2perNi</t>
        </is>
      </c>
      <c r="B12" s="46" t="n"/>
      <c r="C12" s="47" t="n"/>
      <c r="D12" s="19" t="inlineStr">
        <is>
          <t>Kontinu</t>
        </is>
      </c>
      <c r="E12" s="46" t="n"/>
      <c r="F12" s="47" t="n"/>
      <c r="G12" s="19" t="inlineStr">
        <is>
          <t>Intensitas emisi GHG per ton nikel — Y utama model regresi berganda</t>
        </is>
      </c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7" t="n"/>
    </row>
    <row r="13" ht="18" customHeight="1">
      <c r="A13" s="19" t="inlineStr">
        <is>
          <t>Total_Emisi_2023_MtCO2</t>
        </is>
      </c>
      <c r="B13" s="46" t="n"/>
      <c r="C13" s="47" t="n"/>
      <c r="D13" s="19" t="inlineStr">
        <is>
          <t>Kontinu</t>
        </is>
      </c>
      <c r="E13" s="46" t="n"/>
      <c r="F13" s="47" t="n"/>
      <c r="G13" s="19" t="inlineStr">
        <is>
          <t>Total emisi absolut — Y alternatif (regresi total emisi vs kapasitas)</t>
        </is>
      </c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7" t="n"/>
    </row>
    <row r="14" ht="18" customHeight="1">
      <c r="A14" s="19" t="inlineStr">
        <is>
          <t>Reduksi_Emisi_Potensial_MtCO2</t>
        </is>
      </c>
      <c r="B14" s="46" t="n"/>
      <c r="C14" s="47" t="n"/>
      <c r="D14" s="19" t="inlineStr">
        <is>
          <t>Kontinu</t>
        </is>
      </c>
      <c r="E14" s="46" t="n"/>
      <c r="F14" s="47" t="n"/>
      <c r="G14" s="19" t="inlineStr">
        <is>
          <t>Selisih emisi BAU vs Vale-standard — Y untuk model efek kebijakan</t>
        </is>
      </c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7" t="n"/>
    </row>
    <row r="15" ht="18" customHeight="1">
      <c r="A15" s="45" t="inlineStr">
        <is>
          <t>VARIABEL INDEPENDEN (X)</t>
        </is>
      </c>
      <c r="B15" s="46" t="n"/>
      <c r="C15" s="47" t="n"/>
      <c r="D15" s="45" t="inlineStr"/>
      <c r="E15" s="46" t="n"/>
      <c r="F15" s="47" t="n"/>
      <c r="G15" s="45" t="inlineStr">
        <is>
          <t>Variabel prediktor model</t>
        </is>
      </c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7" t="n"/>
    </row>
    <row r="16" ht="18" customHeight="1">
      <c r="A16" s="19" t="inlineStr">
        <is>
          <t>Teknologi_Enc</t>
        </is>
      </c>
      <c r="B16" s="46" t="n"/>
      <c r="C16" s="47" t="n"/>
      <c r="D16" s="19" t="inlineStr">
        <is>
          <t>Kategorik→Enc</t>
        </is>
      </c>
      <c r="E16" s="46" t="n"/>
      <c r="F16" s="47" t="n"/>
      <c r="G16" s="19" t="inlineStr">
        <is>
          <t>1=RKEF, 2=HPAL, 3=Mixed — proksi teknologi proses (harapan: β negatif untuk HPAL)</t>
        </is>
      </c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7" t="n"/>
    </row>
    <row r="17" ht="18" customHeight="1">
      <c r="A17" s="19" t="inlineStr">
        <is>
          <t>Output_Ni_ton_2023 / Log_Output_2023</t>
        </is>
      </c>
      <c r="B17" s="46" t="n"/>
      <c r="C17" s="47" t="n"/>
      <c r="D17" s="19" t="inlineStr">
        <is>
          <t>Kontinu / Log-transform</t>
        </is>
      </c>
      <c r="E17" s="46" t="n"/>
      <c r="F17" s="47" t="n"/>
      <c r="G17" s="19" t="inlineStr">
        <is>
          <t>Skala produksi; log-transform mengatasi distribusi right-skewed</t>
        </is>
      </c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18" ht="18" customHeight="1">
      <c r="A18" s="19" t="inlineStr">
        <is>
          <t>RE_Share_2023_pct</t>
        </is>
      </c>
      <c r="B18" s="46" t="n"/>
      <c r="C18" s="47" t="n"/>
      <c r="D18" s="19" t="inlineStr">
        <is>
          <t>Kontinu [0,1]</t>
        </is>
      </c>
      <c r="E18" s="46" t="n"/>
      <c r="F18" s="47" t="n"/>
      <c r="G18" s="19" t="inlineStr">
        <is>
          <t>Porsi energi terbarukan saat ini — proksi upaya dekarbonisasi</t>
        </is>
      </c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7" t="n"/>
    </row>
    <row r="19" ht="18" customHeight="1">
      <c r="A19" s="19" t="inlineStr">
        <is>
          <t>Rasio_Batubara</t>
        </is>
      </c>
      <c r="B19" s="46" t="n"/>
      <c r="C19" s="47" t="n"/>
      <c r="D19" s="19" t="inlineStr">
        <is>
          <t>Rasio [0,1]</t>
        </is>
      </c>
      <c r="E19" s="46" t="n"/>
      <c r="F19" s="47" t="n"/>
      <c r="G19" s="19" t="inlineStr">
        <is>
          <t>PLTU_MW / Total_MW — proksi ketergantungan batubara</t>
        </is>
      </c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7" t="n"/>
    </row>
    <row r="20" ht="18" customHeight="1">
      <c r="A20" s="19" t="inlineStr">
        <is>
          <t>Output_per_MW</t>
        </is>
      </c>
      <c r="B20" s="46" t="n"/>
      <c r="C20" s="47" t="n"/>
      <c r="D20" s="19" t="inlineStr">
        <is>
          <t>Kontinu</t>
        </is>
      </c>
      <c r="E20" s="46" t="n"/>
      <c r="F20" s="47" t="n"/>
      <c r="G20" s="19" t="inlineStr">
        <is>
          <t>Intensitas produksi per MW terpasang — proksi efisiensi fasilitas</t>
        </is>
      </c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7" t="n"/>
    </row>
    <row r="21" ht="18" customHeight="1">
      <c r="A21" s="19" t="inlineStr">
        <is>
          <t>Delta_RE_Share</t>
        </is>
      </c>
      <c r="B21" s="46" t="n"/>
      <c r="C21" s="47" t="n"/>
      <c r="D21" s="19" t="inlineStr">
        <is>
          <t>Kontinu</t>
        </is>
      </c>
      <c r="E21" s="46" t="n"/>
      <c r="F21" s="47" t="n"/>
      <c r="G21" s="19" t="inlineStr">
        <is>
          <t>Target RE 2028 − RE aktual 2023 — proksi ambisi transisi</t>
        </is>
      </c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7" t="n"/>
    </row>
    <row r="22" ht="18" customHeight="1">
      <c r="A22" s="45" t="inlineStr">
        <is>
          <t>FEATURE ENGINEERING</t>
        </is>
      </c>
      <c r="B22" s="46" t="n"/>
      <c r="C22" s="47" t="n"/>
      <c r="D22" s="45" t="inlineStr"/>
      <c r="E22" s="46" t="n"/>
      <c r="F22" s="47" t="n"/>
      <c r="G22" s="45" t="inlineStr">
        <is>
          <t>Fitur turunan untuk memperkuat model</t>
        </is>
      </c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7" t="n"/>
    </row>
    <row r="23" ht="18" customHeight="1">
      <c r="A23" s="19" t="inlineStr">
        <is>
          <t>Skor_Risiko_Emisi</t>
        </is>
      </c>
      <c r="B23" s="46" t="n"/>
      <c r="C23" s="47" t="n"/>
      <c r="D23" s="19" t="inlineStr">
        <is>
          <t>Ordinal 1-4</t>
        </is>
      </c>
      <c r="E23" s="46" t="n"/>
      <c r="F23" s="47" t="n"/>
      <c r="G23" s="19" t="inlineStr">
        <is>
          <t>1=Rendah(&lt;35) 2=Sedang(35-50) 3=Tinggi(50-65) 4=SangatTinggi(&gt;65) tCO2/tNi</t>
        </is>
      </c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7" t="n"/>
    </row>
    <row r="24" ht="18" customHeight="1">
      <c r="A24" s="19" t="inlineStr">
        <is>
          <t>Log_Output_2023</t>
        </is>
      </c>
      <c r="B24" s="46" t="n"/>
      <c r="C24" s="47" t="n"/>
      <c r="D24" s="19" t="inlineStr">
        <is>
          <t>Log-transform</t>
        </is>
      </c>
      <c r="E24" s="46" t="n"/>
      <c r="F24" s="47" t="n"/>
      <c r="G24" s="19" t="inlineStr">
        <is>
          <t>ln(1+Output) — menormalkan distribusi; gunakan ini bukan Output_raw di OLS</t>
        </is>
      </c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7" t="n"/>
    </row>
    <row r="25" ht="18" customHeight="1">
      <c r="A25" s="19" t="inlineStr">
        <is>
          <t>Rasio_Batubara</t>
        </is>
      </c>
      <c r="B25" s="46" t="n"/>
      <c r="C25" s="47" t="n"/>
      <c r="D25" s="19" t="inlineStr">
        <is>
          <t>Rasio teknis</t>
        </is>
      </c>
      <c r="E25" s="46" t="n"/>
      <c r="F25" s="47" t="n"/>
      <c r="G25" s="19" t="inlineStr">
        <is>
          <t>Fitur kunci expected positif vs GHG_Intensity — semakin tinggi → emisi makin besar</t>
        </is>
      </c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7" t="n"/>
    </row>
  </sheetData>
  <mergeCells count="49">
    <mergeCell ref="G15:AB15"/>
    <mergeCell ref="A2:AB2"/>
    <mergeCell ref="A25:C25"/>
    <mergeCell ref="D11:F11"/>
    <mergeCell ref="D13:F13"/>
    <mergeCell ref="G24:AB24"/>
    <mergeCell ref="G14:AB14"/>
    <mergeCell ref="A18:C18"/>
    <mergeCell ref="D17:F17"/>
    <mergeCell ref="A21:C21"/>
    <mergeCell ref="A12:C12"/>
    <mergeCell ref="G20:AB20"/>
    <mergeCell ref="A10:J10"/>
    <mergeCell ref="D16:F16"/>
    <mergeCell ref="G25:AB25"/>
    <mergeCell ref="G16:AB16"/>
    <mergeCell ref="A23:C23"/>
    <mergeCell ref="A14:C14"/>
    <mergeCell ref="G22:AB22"/>
    <mergeCell ref="A22:C22"/>
    <mergeCell ref="D12:F12"/>
    <mergeCell ref="A17:C17"/>
    <mergeCell ref="D18:F18"/>
    <mergeCell ref="G12:AB12"/>
    <mergeCell ref="D25:F25"/>
    <mergeCell ref="D15:F15"/>
    <mergeCell ref="A20:C20"/>
    <mergeCell ref="G21:AB21"/>
    <mergeCell ref="D24:F24"/>
    <mergeCell ref="G11:AB11"/>
    <mergeCell ref="A13:C13"/>
    <mergeCell ref="D14:F14"/>
    <mergeCell ref="A19:C19"/>
    <mergeCell ref="D23:F23"/>
    <mergeCell ref="G23:AB23"/>
    <mergeCell ref="A1:AB1"/>
    <mergeCell ref="A15:C15"/>
    <mergeCell ref="G17:AB17"/>
    <mergeCell ref="D20:F20"/>
    <mergeCell ref="A24:C24"/>
    <mergeCell ref="D19:F19"/>
    <mergeCell ref="B8:E8"/>
    <mergeCell ref="A11:C11"/>
    <mergeCell ref="G13:AB13"/>
    <mergeCell ref="G19:AB19"/>
    <mergeCell ref="D22:F22"/>
    <mergeCell ref="G18:AB18"/>
    <mergeCell ref="D21:F2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4" customWidth="1" min="15" max="15"/>
    <col width="36" customWidth="1" min="16" max="16"/>
  </cols>
  <sheetData>
    <row r="1">
      <c r="A1" s="48" t="inlineStr">
        <is>
          <t>MODEL REGRESI 1 — Y: GHG Intensity (tCO₂/tNi) | Menjawab RM-2: Faktor penentu intensitas emisi smelter nikel</t>
        </is>
      </c>
    </row>
    <row r="2">
      <c r="A2" s="2" t="inlineStr">
        <is>
          <t>Sumber: IEEFA (2024) | Metode: OLS Regresi Berganda | Persamaan: GHG_i = β₀ + β₁·Teknologi_Enc + β₂·log(Output) + β₃·RE_Share + β₄·Rasio_Batubara + ε</t>
        </is>
      </c>
    </row>
    <row r="3" ht="52" customHeight="1">
      <c r="A3" s="16" t="inlineStr">
        <is>
          <t>No</t>
        </is>
      </c>
      <c r="B3" s="16" t="inlineStr">
        <is>
          <t>ID</t>
        </is>
      </c>
      <c r="C3" s="16" t="inlineStr">
        <is>
          <t>Perusahaan</t>
        </is>
      </c>
      <c r="D3" s="16" t="inlineStr">
        <is>
          <t>Y: GHG_Intensity
(tCO₂/tNi)</t>
        </is>
      </c>
      <c r="E3" s="16" t="inlineStr">
        <is>
          <t>X1: Teknologi_Enc
(1=RKEF,2=HPAL,3=Mix)</t>
        </is>
      </c>
      <c r="F3" s="16" t="inlineStr">
        <is>
          <t>X2: Log_Output
(ln(1+out_2023))</t>
        </is>
      </c>
      <c r="G3" s="16" t="inlineStr">
        <is>
          <t>X3: RE_Share
(%, 2023)</t>
        </is>
      </c>
      <c r="H3" s="16" t="inlineStr">
        <is>
          <t>X4: Rasio_Batubara
(PLTU/Total MW)</t>
        </is>
      </c>
      <c r="I3" s="16" t="inlineStr">
        <is>
          <t>X5: Output_per_MW
(ton/MW)</t>
        </is>
      </c>
      <c r="J3" s="16" t="inlineStr">
        <is>
          <t>X6: Kapasitas_PLTU_MW</t>
        </is>
      </c>
      <c r="K3" s="16" t="inlineStr">
        <is>
          <t>X7: Kapasitas_EBT_MW</t>
        </is>
      </c>
      <c r="L3" s="49" t="inlineStr">
        <is>
          <t>Fitted_Y
(prediksi manual)</t>
        </is>
      </c>
      <c r="M3" s="49" t="inlineStr">
        <is>
          <t>Residual
(Y - Ŷ)</t>
        </is>
      </c>
      <c r="N3" s="49" t="inlineStr">
        <is>
          <t>Abs_Residual</t>
        </is>
      </c>
      <c r="O3" s="49" t="inlineStr">
        <is>
          <t>Kuadrat_Residual
(untuk SSE)</t>
        </is>
      </c>
      <c r="P3" s="49" t="inlineStr">
        <is>
          <t>Catatan Observasi</t>
        </is>
      </c>
    </row>
    <row r="4" ht="22" customHeight="1">
      <c r="A4" s="22" t="n">
        <v>1</v>
      </c>
      <c r="B4" s="17" t="inlineStr">
        <is>
          <t>ANT</t>
        </is>
      </c>
      <c r="C4" s="19" t="inlineStr">
        <is>
          <t>Antam</t>
        </is>
      </c>
      <c r="D4" s="25" t="n">
        <v>69.90000000000001</v>
      </c>
      <c r="E4" s="22" t="n">
        <v>1</v>
      </c>
      <c r="F4" s="28" t="n">
        <v>9.974600000000001</v>
      </c>
      <c r="G4" s="24" t="n">
        <v>0.012</v>
      </c>
      <c r="H4" s="24" t="n">
        <v>0.989</v>
      </c>
      <c r="I4" s="23" t="n">
        <v>353.7</v>
      </c>
      <c r="J4" s="22" t="n">
        <v>60</v>
      </c>
      <c r="K4" s="23" t="n">
        <v>0.7</v>
      </c>
      <c r="L4" s="28" t="n">
        <v>37.19</v>
      </c>
      <c r="M4" s="28" t="n">
        <v>32.71</v>
      </c>
      <c r="N4" s="28" t="n">
        <v>32.71</v>
      </c>
      <c r="O4" s="28" t="n">
        <v>1069.7148</v>
      </c>
      <c r="P4" s="19" t="inlineStr">
        <is>
          <t>RKEF pure; RE sangat rendah 1.2%; rasio batubara 0.989</t>
        </is>
      </c>
    </row>
    <row r="5" ht="22" customHeight="1">
      <c r="A5" s="22" t="n">
        <v>2</v>
      </c>
      <c r="B5" s="17" t="inlineStr">
        <is>
          <t>MBMA</t>
        </is>
      </c>
      <c r="C5" s="19" t="inlineStr">
        <is>
          <t>MBMA</t>
        </is>
      </c>
      <c r="D5" s="31" t="n">
        <v>56.9</v>
      </c>
      <c r="E5" s="22" t="n">
        <v>3</v>
      </c>
      <c r="F5" s="28" t="n">
        <v>11.4664</v>
      </c>
      <c r="G5" s="24" t="n">
        <v>0.049</v>
      </c>
      <c r="H5" s="24" t="n">
        <v>0.953</v>
      </c>
      <c r="I5" s="23" t="n">
        <v>189.7</v>
      </c>
      <c r="J5" s="22" t="n">
        <v>480</v>
      </c>
      <c r="K5" s="23" t="n">
        <v>23.5</v>
      </c>
      <c r="L5" s="28" t="n">
        <v>46.72</v>
      </c>
      <c r="M5" s="28" t="n">
        <v>10.18</v>
      </c>
      <c r="N5" s="28" t="n">
        <v>10.18</v>
      </c>
      <c r="O5" s="28" t="n">
        <v>103.6511</v>
      </c>
      <c r="P5" s="19" t="inlineStr">
        <is>
          <t>Mix RKEF+konversi; RE 4.9%; batubara dominan</t>
        </is>
      </c>
    </row>
    <row r="6" ht="22" customHeight="1">
      <c r="A6" s="22" t="n">
        <v>3</v>
      </c>
      <c r="B6" s="17" t="inlineStr">
        <is>
          <t>TBP</t>
        </is>
      </c>
      <c r="C6" s="19" t="inlineStr">
        <is>
          <t>TBP/Harita</t>
        </is>
      </c>
      <c r="D6" s="25" t="n">
        <v>68.40000000000001</v>
      </c>
      <c r="E6" s="22" t="n">
        <v>3</v>
      </c>
      <c r="F6" s="28" t="n">
        <v>12.0149</v>
      </c>
      <c r="G6" s="24" t="n">
        <v>0.053</v>
      </c>
      <c r="H6" s="24" t="n">
        <v>0.95</v>
      </c>
      <c r="I6" s="23" t="n">
        <v>75.5</v>
      </c>
      <c r="J6" s="22" t="n">
        <v>2080</v>
      </c>
      <c r="K6" s="23" t="n">
        <v>110.2</v>
      </c>
      <c r="L6" s="28" t="n">
        <v>45.08</v>
      </c>
      <c r="M6" s="28" t="n">
        <v>23.32</v>
      </c>
      <c r="N6" s="28" t="n">
        <v>23.32</v>
      </c>
      <c r="O6" s="28" t="n">
        <v>543.9245</v>
      </c>
      <c r="P6" s="19" t="inlineStr">
        <is>
          <t>Mix RKEF+HPAL; output terbesar; PLTU 2080 MW dominan</t>
        </is>
      </c>
    </row>
    <row r="7" ht="22" customHeight="1">
      <c r="A7" s="22" t="n">
        <v>4</v>
      </c>
      <c r="B7" s="17" t="inlineStr">
        <is>
          <t>VALE</t>
        </is>
      </c>
      <c r="C7" s="19" t="inlineStr">
        <is>
          <t>Vale</t>
        </is>
      </c>
      <c r="D7" s="50" t="n">
        <v>28.7</v>
      </c>
      <c r="E7" s="22" t="n">
        <v>3</v>
      </c>
      <c r="F7" s="28" t="n">
        <v>11.1666</v>
      </c>
      <c r="G7" s="24" t="n">
        <v>0.301</v>
      </c>
      <c r="H7" s="24" t="n">
        <v>0.107</v>
      </c>
      <c r="I7" s="23" t="n">
        <v>172.9</v>
      </c>
      <c r="J7" s="22" t="n">
        <v>44</v>
      </c>
      <c r="K7" s="23" t="n">
        <v>365</v>
      </c>
      <c r="L7" s="28" t="n">
        <v>10.75</v>
      </c>
      <c r="M7" s="28" t="n">
        <v>17.95</v>
      </c>
      <c r="N7" s="28" t="n">
        <v>17.95</v>
      </c>
      <c r="O7" s="28" t="n">
        <v>322.2573</v>
      </c>
      <c r="P7" s="19" t="inlineStr">
        <is>
          <t>PLTA dominan 365MW; RE 30.1%; benchmark terbaik</t>
        </is>
      </c>
    </row>
    <row r="9">
      <c r="A9" s="51" t="inlineStr">
        <is>
          <t>STATISTIK MODEL (ilustrasi — jalankan OLS di Python/SPSS untuk nilai aktual)</t>
        </is>
      </c>
    </row>
    <row r="10" ht="18" customHeight="1">
      <c r="A10" s="52" t="inlineStr">
        <is>
          <t>SST (Total Sum of Squares)</t>
        </is>
      </c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7" t="n"/>
      <c r="O10" s="28">
        <f>SUMPRODUCT((D4:D7-AVERAGE(D4:D7))^2)</f>
        <v/>
      </c>
      <c r="P10" s="47" t="n"/>
    </row>
    <row r="11" ht="18" customHeight="1">
      <c r="A11" s="52" t="inlineStr">
        <is>
          <t>SSE (Sum Squared Errors)</t>
        </is>
      </c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7" t="n"/>
      <c r="O11" s="28">
        <f>SUMPRODUCT((N4:N7)^2)</f>
        <v/>
      </c>
      <c r="P11" s="47" t="n"/>
    </row>
    <row r="12" ht="18" customHeight="1">
      <c r="A12" s="52" t="inlineStr">
        <is>
          <t>R² (Koef. Determinasi)</t>
        </is>
      </c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7" t="n"/>
      <c r="O12" s="28">
        <f>1-(O10/O9)</f>
        <v/>
      </c>
      <c r="P12" s="47" t="n"/>
    </row>
    <row r="13" ht="18" customHeight="1">
      <c r="A13" s="52" t="inlineStr">
        <is>
          <t>RMSE</t>
        </is>
      </c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7" t="n"/>
      <c r="O13" s="28">
        <f>SQRT(O10/COUNT(D4:D7))</f>
        <v/>
      </c>
      <c r="P13" s="47" t="n"/>
    </row>
    <row r="14" ht="18" customHeight="1">
      <c r="A14" s="52" t="inlineStr">
        <is>
          <t>Mean Y (GHG rata-rata)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7" t="n"/>
      <c r="O14" s="28">
        <f>AVERAGE(D4:D7)</f>
        <v/>
      </c>
      <c r="P14" s="47" t="n"/>
    </row>
    <row r="15" ht="18" customHeight="1">
      <c r="A15" s="52" t="inlineStr">
        <is>
          <t>N Observasi (listed)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7" t="n"/>
      <c r="O15" s="28">
        <f>COUNT(D4:D7)</f>
        <v/>
      </c>
      <c r="P15" s="47" t="n"/>
    </row>
    <row r="16" ht="18" customHeight="1">
      <c r="A16" s="52" t="inlineStr">
        <is>
          <t>Catatan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7" t="n"/>
      <c r="O16" s="28" t="inlineStr">
        <is>
          <t>Tambah data CGS (87 smelter) untuk model yang lebih robust</t>
        </is>
      </c>
      <c r="P16" s="47" t="n"/>
    </row>
  </sheetData>
  <mergeCells count="17">
    <mergeCell ref="O16:P16"/>
    <mergeCell ref="O11:P11"/>
    <mergeCell ref="A12:N12"/>
    <mergeCell ref="A1:P1"/>
    <mergeCell ref="O10:P10"/>
    <mergeCell ref="A9:P9"/>
    <mergeCell ref="A16:N16"/>
    <mergeCell ref="A15:N15"/>
    <mergeCell ref="O14:P14"/>
    <mergeCell ref="O15:P15"/>
    <mergeCell ref="A11:N11"/>
    <mergeCell ref="A10:N10"/>
    <mergeCell ref="A13:N13"/>
    <mergeCell ref="A14:N14"/>
    <mergeCell ref="O12:P12"/>
    <mergeCell ref="O13:P1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12" customWidth="1" min="3" max="3"/>
    <col width="12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2" customWidth="1" min="12" max="12"/>
    <col width="38" customWidth="1" min="13" max="13"/>
  </cols>
  <sheetData>
    <row r="1">
      <c r="A1" s="53" t="inlineStr">
        <is>
          <t>MODEL REGRESI 2 — Y: Total Emisi (Mt CO₂) | Proyeksi 2023-2060 | Skenario BAU, JETP, NZE</t>
        </is>
      </c>
    </row>
    <row r="2">
      <c r="A2" s="2" t="inlineStr">
        <is>
          <t>Sumber: IEEFA (2024), JETP CIPP (2023), IEA NZE Roadmap (2050) | Catatan Kebijakan: Lihat kolom Catatan | Format: Data panel 10 titik waktu × 3 skenario</t>
        </is>
      </c>
    </row>
    <row r="3" ht="52" customHeight="1">
      <c r="A3" s="16" t="inlineStr">
        <is>
          <t>No</t>
        </is>
      </c>
      <c r="B3" s="16" t="inlineStr">
        <is>
          <t>Tahun</t>
        </is>
      </c>
      <c r="C3" s="16" t="inlineStr">
        <is>
          <t>Y1: Emisi_BAU
(Mt CO₂)</t>
        </is>
      </c>
      <c r="D3" s="16" t="inlineStr">
        <is>
          <t>Y2: Emisi_JETP/NDC
(Mt CO₂)</t>
        </is>
      </c>
      <c r="E3" s="16" t="inlineStr">
        <is>
          <t>Y3: Emisi_NZE
(Mt CO₂)</t>
        </is>
      </c>
      <c r="F3" s="16" t="inlineStr">
        <is>
          <t>X1: Waktu
(t, t=0 di 2023)</t>
        </is>
      </c>
      <c r="G3" s="16" t="inlineStr">
        <is>
          <t>X2: Kebijakan_JETP
(0/1 dummy ≥2030)</t>
        </is>
      </c>
      <c r="H3" s="16" t="inlineStr">
        <is>
          <t>X3: Kebijakan_NZE
(0/1 dummy ≥2035)</t>
        </is>
      </c>
      <c r="I3" s="16" t="inlineStr">
        <is>
          <t>Delta_BAU_vs_NZE
(Mt)</t>
        </is>
      </c>
      <c r="J3" s="16" t="inlineStr">
        <is>
          <t>Reduksi_kumulatif_JETP
(Mt vs BAU)</t>
        </is>
      </c>
      <c r="K3" s="16" t="inlineStr">
        <is>
          <t>Pct_reduksi_JETP</t>
        </is>
      </c>
      <c r="L3" s="16" t="inlineStr">
        <is>
          <t>Pct_reduksi_NZE</t>
        </is>
      </c>
      <c r="M3" s="16" t="inlineStr">
        <is>
          <t>Catatan Kebijakan Kunci</t>
        </is>
      </c>
    </row>
    <row r="4" ht="22" customHeight="1">
      <c r="A4" s="22" t="n">
        <v>1</v>
      </c>
      <c r="B4" s="22" t="n">
        <v>2023</v>
      </c>
      <c r="C4" s="50" t="n">
        <v>15.3</v>
      </c>
      <c r="D4" s="23" t="n">
        <v>15.3</v>
      </c>
      <c r="E4" s="23" t="n">
        <v>15.3</v>
      </c>
      <c r="F4" s="22" t="n">
        <v>0</v>
      </c>
      <c r="G4" s="22" t="n">
        <v>0</v>
      </c>
      <c r="H4" s="22" t="n">
        <v>0</v>
      </c>
      <c r="I4" s="23" t="n">
        <v>0</v>
      </c>
      <c r="J4" s="23" t="n">
        <v>0</v>
      </c>
      <c r="K4" s="24" t="n">
        <v>0</v>
      </c>
      <c r="L4" s="24" t="n">
        <v>0</v>
      </c>
      <c r="M4" s="19" t="inlineStr">
        <is>
          <t>Baseline aktual IEEFA 4 perusahaan listed</t>
        </is>
      </c>
    </row>
    <row r="5" ht="22" customHeight="1">
      <c r="A5" s="22" t="n">
        <v>2</v>
      </c>
      <c r="B5" s="22" t="n">
        <v>2025</v>
      </c>
      <c r="C5" s="50" t="n">
        <v>22</v>
      </c>
      <c r="D5" s="23" t="n">
        <v>18.5</v>
      </c>
      <c r="E5" s="23" t="n">
        <v>14</v>
      </c>
      <c r="F5" s="22" t="n">
        <v>2</v>
      </c>
      <c r="G5" s="22" t="n">
        <v>0</v>
      </c>
      <c r="H5" s="22" t="n">
        <v>0</v>
      </c>
      <c r="I5" s="23" t="n">
        <v>8</v>
      </c>
      <c r="J5" s="23" t="n">
        <v>3.5</v>
      </c>
      <c r="K5" s="24" t="n">
        <v>0.1590909090909091</v>
      </c>
      <c r="L5" s="24" t="n">
        <v>0.3636363636363636</v>
      </c>
      <c r="M5" s="19" t="inlineStr">
        <is>
          <t>TBP 300 MW Solar PV mulai; MBMA ekspansi</t>
        </is>
      </c>
    </row>
    <row r="6" ht="22" customHeight="1">
      <c r="A6" s="22" t="n">
        <v>3</v>
      </c>
      <c r="B6" s="22" t="n">
        <v>2028</v>
      </c>
      <c r="C6" s="31" t="n">
        <v>38.5</v>
      </c>
      <c r="D6" s="23" t="n">
        <v>26</v>
      </c>
      <c r="E6" s="23" t="n">
        <v>18</v>
      </c>
      <c r="F6" s="22" t="n">
        <v>5</v>
      </c>
      <c r="G6" s="22" t="n">
        <v>0</v>
      </c>
      <c r="H6" s="22" t="n">
        <v>0</v>
      </c>
      <c r="I6" s="23" t="n">
        <v>20.5</v>
      </c>
      <c r="J6" s="23" t="n">
        <v>12.5</v>
      </c>
      <c r="K6" s="24" t="n">
        <v>0.3246753246753247</v>
      </c>
      <c r="L6" s="24" t="n">
        <v>0.5324675324675324</v>
      </c>
      <c r="M6" s="19" t="inlineStr">
        <is>
          <t>Target ekspansi 4 perusahaan → 1.05 Mt Ni</t>
        </is>
      </c>
    </row>
    <row r="7" ht="22" customHeight="1">
      <c r="A7" s="22" t="n">
        <v>4</v>
      </c>
      <c r="B7" s="22" t="n">
        <v>2030</v>
      </c>
      <c r="C7" s="31" t="n">
        <v>45</v>
      </c>
      <c r="D7" s="23" t="n">
        <v>22</v>
      </c>
      <c r="E7" s="23" t="n">
        <v>12</v>
      </c>
      <c r="F7" s="22" t="n">
        <v>7</v>
      </c>
      <c r="G7" s="22" t="n">
        <v>1</v>
      </c>
      <c r="H7" s="22" t="n">
        <v>0</v>
      </c>
      <c r="I7" s="23" t="n">
        <v>33</v>
      </c>
      <c r="J7" s="23" t="n">
        <v>23</v>
      </c>
      <c r="K7" s="24" t="n">
        <v>0.5111111111111111</v>
      </c>
      <c r="L7" s="24" t="n">
        <v>0.7333333333333333</v>
      </c>
      <c r="M7" s="19" t="inlineStr">
        <is>
          <t>Target NDC -32% emisi nasional; JETP aktif</t>
        </is>
      </c>
    </row>
    <row r="8" ht="22" customHeight="1">
      <c r="A8" s="22" t="n">
        <v>5</v>
      </c>
      <c r="B8" s="22" t="n">
        <v>2035</v>
      </c>
      <c r="C8" s="25" t="n">
        <v>50</v>
      </c>
      <c r="D8" s="23" t="n">
        <v>17</v>
      </c>
      <c r="E8" s="23" t="n">
        <v>8</v>
      </c>
      <c r="F8" s="22" t="n">
        <v>12</v>
      </c>
      <c r="G8" s="22" t="n">
        <v>1</v>
      </c>
      <c r="H8" s="22" t="n">
        <v>1</v>
      </c>
      <c r="I8" s="23" t="n">
        <v>42</v>
      </c>
      <c r="J8" s="23" t="n">
        <v>33</v>
      </c>
      <c r="K8" s="24" t="n">
        <v>0.66</v>
      </c>
      <c r="L8" s="24" t="n">
        <v>0.84</v>
      </c>
      <c r="M8" s="19" t="inlineStr">
        <is>
          <t>JETP phase-out PLTU captive; NZE ambisi mulai</t>
        </is>
      </c>
    </row>
    <row r="9" ht="22" customHeight="1">
      <c r="A9" s="22" t="n">
        <v>6</v>
      </c>
      <c r="B9" s="22" t="n">
        <v>2040</v>
      </c>
      <c r="C9" s="25" t="n">
        <v>52</v>
      </c>
      <c r="D9" s="23" t="n">
        <v>12</v>
      </c>
      <c r="E9" s="23" t="n">
        <v>5</v>
      </c>
      <c r="F9" s="22" t="n">
        <v>17</v>
      </c>
      <c r="G9" s="22" t="n">
        <v>1</v>
      </c>
      <c r="H9" s="22" t="n">
        <v>1</v>
      </c>
      <c r="I9" s="23" t="n">
        <v>47</v>
      </c>
      <c r="J9" s="23" t="n">
        <v>40</v>
      </c>
      <c r="K9" s="24" t="n">
        <v>0.7692307692307693</v>
      </c>
      <c r="L9" s="24" t="n">
        <v>0.9038461538461539</v>
      </c>
      <c r="M9" s="19" t="inlineStr">
        <is>
          <t>Target 81% reduksi WRI-Bappenas 2025</t>
        </is>
      </c>
    </row>
    <row r="10" ht="22" customHeight="1">
      <c r="A10" s="22" t="n">
        <v>7</v>
      </c>
      <c r="B10" s="22" t="n">
        <v>2045</v>
      </c>
      <c r="C10" s="31" t="n">
        <v>48</v>
      </c>
      <c r="D10" s="23" t="n">
        <v>7</v>
      </c>
      <c r="E10" s="23" t="n">
        <v>2</v>
      </c>
      <c r="F10" s="22" t="n">
        <v>22</v>
      </c>
      <c r="G10" s="22" t="n">
        <v>1</v>
      </c>
      <c r="H10" s="22" t="n">
        <v>1</v>
      </c>
      <c r="I10" s="23" t="n">
        <v>46</v>
      </c>
      <c r="J10" s="23" t="n">
        <v>41</v>
      </c>
      <c r="K10" s="24" t="n">
        <v>0.8541666666666666</v>
      </c>
      <c r="L10" s="24" t="n">
        <v>0.9583333333333334</v>
      </c>
      <c r="M10" s="19" t="inlineStr">
        <is>
          <t>RPJPN 2025-2045 nikel hijau; fase carbon offset</t>
        </is>
      </c>
    </row>
    <row r="11" ht="22" customHeight="1">
      <c r="A11" s="22" t="n">
        <v>8</v>
      </c>
      <c r="B11" s="22" t="n">
        <v>2050</v>
      </c>
      <c r="C11" s="31" t="n">
        <v>40</v>
      </c>
      <c r="D11" s="23" t="n">
        <v>3.5</v>
      </c>
      <c r="E11" s="23" t="n">
        <v>0</v>
      </c>
      <c r="F11" s="22" t="n">
        <v>27</v>
      </c>
      <c r="G11" s="22" t="n">
        <v>1</v>
      </c>
      <c r="H11" s="22" t="n">
        <v>1</v>
      </c>
      <c r="I11" s="23" t="n">
        <v>40</v>
      </c>
      <c r="J11" s="23" t="n">
        <v>36.5</v>
      </c>
      <c r="K11" s="24" t="n">
        <v>0.9125</v>
      </c>
      <c r="L11" s="24" t="n">
        <v>1</v>
      </c>
      <c r="M11" s="19" t="inlineStr">
        <is>
          <t>NZE ambisius target net zero sektor nikel</t>
        </is>
      </c>
    </row>
    <row r="12" ht="22" customHeight="1">
      <c r="A12" s="22" t="n">
        <v>9</v>
      </c>
      <c r="B12" s="22" t="n">
        <v>2055</v>
      </c>
      <c r="C12" s="31" t="n">
        <v>30</v>
      </c>
      <c r="D12" s="23" t="n">
        <v>1.5</v>
      </c>
      <c r="E12" s="23" t="n">
        <v>0</v>
      </c>
      <c r="F12" s="22" t="n">
        <v>32</v>
      </c>
      <c r="G12" s="22" t="n">
        <v>1</v>
      </c>
      <c r="H12" s="22" t="n">
        <v>1</v>
      </c>
      <c r="I12" s="23" t="n">
        <v>30</v>
      </c>
      <c r="J12" s="23" t="n">
        <v>28.5</v>
      </c>
      <c r="K12" s="24" t="n">
        <v>0.95</v>
      </c>
      <c r="L12" s="24" t="n">
        <v>1</v>
      </c>
      <c r="M12" s="19" t="inlineStr">
        <is>
          <t>Carbon offset mangrove menyeimbangkan sisa emisi</t>
        </is>
      </c>
    </row>
    <row r="13" ht="22" customHeight="1">
      <c r="A13" s="22" t="n">
        <v>10</v>
      </c>
      <c r="B13" s="22" t="n">
        <v>2060</v>
      </c>
      <c r="C13" s="50" t="n">
        <v>0</v>
      </c>
      <c r="D13" s="23" t="n">
        <v>0</v>
      </c>
      <c r="E13" s="23" t="n">
        <v>0</v>
      </c>
      <c r="F13" s="22" t="n">
        <v>37</v>
      </c>
      <c r="G13" s="22" t="n">
        <v>1</v>
      </c>
      <c r="H13" s="22" t="n">
        <v>1</v>
      </c>
      <c r="I13" s="23" t="n">
        <v>0</v>
      </c>
      <c r="J13" s="23" t="n">
        <v>0</v>
      </c>
      <c r="K13" s="24" t="n">
        <v>0</v>
      </c>
      <c r="L13" s="24" t="n">
        <v>0</v>
      </c>
      <c r="M13" s="19" t="inlineStr">
        <is>
          <t>Target NZE Indonesia (e-NDC 2023)</t>
        </is>
      </c>
    </row>
    <row r="15">
      <c r="A15" s="54" t="inlineStr">
        <is>
          <t>FORMAT PANJANG (long-format) — SIAP PANEL REGRESI (Python statsmodels / R plm)</t>
        </is>
      </c>
    </row>
    <row r="16" ht="28" customHeight="1">
      <c r="A16" s="55" t="inlineStr">
        <is>
          <t>Row</t>
        </is>
      </c>
      <c r="B16" s="55" t="inlineStr">
        <is>
          <t>Tahun</t>
        </is>
      </c>
      <c r="C16" s="55" t="inlineStr">
        <is>
          <t>Skenario</t>
        </is>
      </c>
      <c r="D16" s="55" t="inlineStr">
        <is>
          <t>Emisi_MtCO2</t>
        </is>
      </c>
      <c r="E16" s="55" t="inlineStr">
        <is>
          <t>t_linear</t>
        </is>
      </c>
      <c r="F16" s="55" t="inlineStr">
        <is>
          <t>D_JETP</t>
        </is>
      </c>
      <c r="G16" s="55" t="inlineStr">
        <is>
          <t>D_NZE</t>
        </is>
      </c>
      <c r="H16" s="55" t="inlineStr">
        <is>
          <t>t²</t>
        </is>
      </c>
      <c r="I16" s="55" t="inlineStr">
        <is>
          <t>ln_Emisi</t>
        </is>
      </c>
      <c r="J16" s="55" t="inlineStr">
        <is>
          <t>Growth_YoY</t>
        </is>
      </c>
      <c r="K16" s="55" t="inlineStr">
        <is>
          <t>Catatan</t>
        </is>
      </c>
    </row>
    <row r="17">
      <c r="A17" s="22" t="n">
        <v>1</v>
      </c>
      <c r="B17" s="22" t="n">
        <v>2023</v>
      </c>
      <c r="C17" s="56" t="inlineStr">
        <is>
          <t>BAU</t>
        </is>
      </c>
      <c r="D17" s="23" t="n">
        <v>15.3</v>
      </c>
      <c r="E17" s="22" t="n">
        <v>0</v>
      </c>
      <c r="F17" s="22" t="n">
        <v>0</v>
      </c>
      <c r="G17" s="22" t="n">
        <v>0</v>
      </c>
      <c r="H17" s="22" t="n">
        <v>0</v>
      </c>
      <c r="I17" s="28" t="n">
        <v>2.7912</v>
      </c>
      <c r="J17" s="24" t="n">
        <v>0</v>
      </c>
      <c r="K17" s="17" t="inlineStr"/>
    </row>
    <row r="18">
      <c r="A18" s="22" t="n">
        <v>2</v>
      </c>
      <c r="B18" s="22" t="n">
        <v>2025</v>
      </c>
      <c r="C18" s="56" t="inlineStr">
        <is>
          <t>BAU</t>
        </is>
      </c>
      <c r="D18" s="23" t="n">
        <v>22</v>
      </c>
      <c r="E18" s="22" t="n">
        <v>2</v>
      </c>
      <c r="F18" s="22" t="n">
        <v>0</v>
      </c>
      <c r="G18" s="22" t="n">
        <v>0</v>
      </c>
      <c r="H18" s="22" t="n">
        <v>4</v>
      </c>
      <c r="I18" s="28" t="n">
        <v>3.1355</v>
      </c>
      <c r="J18" s="24" t="n">
        <v>0.4379</v>
      </c>
      <c r="K18" s="17" t="inlineStr"/>
    </row>
    <row r="19">
      <c r="A19" s="22" t="n">
        <v>3</v>
      </c>
      <c r="B19" s="22" t="n">
        <v>2028</v>
      </c>
      <c r="C19" s="56" t="inlineStr">
        <is>
          <t>BAU</t>
        </is>
      </c>
      <c r="D19" s="23" t="n">
        <v>38.5</v>
      </c>
      <c r="E19" s="22" t="n">
        <v>5</v>
      </c>
      <c r="F19" s="22" t="n">
        <v>0</v>
      </c>
      <c r="G19" s="22" t="n">
        <v>0</v>
      </c>
      <c r="H19" s="22" t="n">
        <v>25</v>
      </c>
      <c r="I19" s="28" t="n">
        <v>3.6763</v>
      </c>
      <c r="J19" s="24" t="n">
        <v>0.75</v>
      </c>
      <c r="K19" s="17" t="inlineStr"/>
    </row>
    <row r="20">
      <c r="A20" s="22" t="n">
        <v>4</v>
      </c>
      <c r="B20" s="22" t="n">
        <v>2030</v>
      </c>
      <c r="C20" s="56" t="inlineStr">
        <is>
          <t>BAU</t>
        </is>
      </c>
      <c r="D20" s="23" t="n">
        <v>45</v>
      </c>
      <c r="E20" s="22" t="n">
        <v>7</v>
      </c>
      <c r="F20" s="22" t="n">
        <v>1</v>
      </c>
      <c r="G20" s="22" t="n">
        <v>0</v>
      </c>
      <c r="H20" s="22" t="n">
        <v>49</v>
      </c>
      <c r="I20" s="28" t="n">
        <v>3.8286</v>
      </c>
      <c r="J20" s="24" t="n">
        <v>0.1688</v>
      </c>
      <c r="K20" s="17" t="inlineStr">
        <is>
          <t>NDC 2030</t>
        </is>
      </c>
    </row>
    <row r="21">
      <c r="A21" s="22" t="n">
        <v>5</v>
      </c>
      <c r="B21" s="22" t="n">
        <v>2035</v>
      </c>
      <c r="C21" s="56" t="inlineStr">
        <is>
          <t>BAU</t>
        </is>
      </c>
      <c r="D21" s="23" t="n">
        <v>50</v>
      </c>
      <c r="E21" s="22" t="n">
        <v>12</v>
      </c>
      <c r="F21" s="22" t="n">
        <v>1</v>
      </c>
      <c r="G21" s="22" t="n">
        <v>1</v>
      </c>
      <c r="H21" s="22" t="n">
        <v>144</v>
      </c>
      <c r="I21" s="28" t="n">
        <v>3.9318</v>
      </c>
      <c r="J21" s="24" t="n">
        <v>0.1111</v>
      </c>
      <c r="K21" s="17" t="inlineStr"/>
    </row>
    <row r="22">
      <c r="A22" s="22" t="n">
        <v>6</v>
      </c>
      <c r="B22" s="22" t="n">
        <v>2040</v>
      </c>
      <c r="C22" s="56" t="inlineStr">
        <is>
          <t>BAU</t>
        </is>
      </c>
      <c r="D22" s="23" t="n">
        <v>52</v>
      </c>
      <c r="E22" s="22" t="n">
        <v>17</v>
      </c>
      <c r="F22" s="22" t="n">
        <v>1</v>
      </c>
      <c r="G22" s="22" t="n">
        <v>1</v>
      </c>
      <c r="H22" s="22" t="n">
        <v>289</v>
      </c>
      <c r="I22" s="28" t="n">
        <v>3.9703</v>
      </c>
      <c r="J22" s="24" t="n">
        <v>0.04</v>
      </c>
      <c r="K22" s="17" t="inlineStr"/>
    </row>
    <row r="23">
      <c r="A23" s="22" t="n">
        <v>7</v>
      </c>
      <c r="B23" s="22" t="n">
        <v>2045</v>
      </c>
      <c r="C23" s="56" t="inlineStr">
        <is>
          <t>BAU</t>
        </is>
      </c>
      <c r="D23" s="23" t="n">
        <v>48</v>
      </c>
      <c r="E23" s="22" t="n">
        <v>22</v>
      </c>
      <c r="F23" s="22" t="n">
        <v>1</v>
      </c>
      <c r="G23" s="22" t="n">
        <v>1</v>
      </c>
      <c r="H23" s="22" t="n">
        <v>484</v>
      </c>
      <c r="I23" s="28" t="n">
        <v>3.8918</v>
      </c>
      <c r="J23" s="24" t="n">
        <v>-0.0769</v>
      </c>
      <c r="K23" s="17" t="inlineStr"/>
    </row>
    <row r="24">
      <c r="A24" s="22" t="n">
        <v>8</v>
      </c>
      <c r="B24" s="22" t="n">
        <v>2050</v>
      </c>
      <c r="C24" s="56" t="inlineStr">
        <is>
          <t>BAU</t>
        </is>
      </c>
      <c r="D24" s="23" t="n">
        <v>40</v>
      </c>
      <c r="E24" s="22" t="n">
        <v>27</v>
      </c>
      <c r="F24" s="22" t="n">
        <v>1</v>
      </c>
      <c r="G24" s="22" t="n">
        <v>1</v>
      </c>
      <c r="H24" s="22" t="n">
        <v>729</v>
      </c>
      <c r="I24" s="28" t="n">
        <v>3.7136</v>
      </c>
      <c r="J24" s="24" t="n">
        <v>-0.1667</v>
      </c>
      <c r="K24" s="17" t="inlineStr"/>
    </row>
    <row r="25">
      <c r="A25" s="22" t="n">
        <v>9</v>
      </c>
      <c r="B25" s="22" t="n">
        <v>2055</v>
      </c>
      <c r="C25" s="56" t="inlineStr">
        <is>
          <t>BAU</t>
        </is>
      </c>
      <c r="D25" s="23" t="n">
        <v>30</v>
      </c>
      <c r="E25" s="22" t="n">
        <v>32</v>
      </c>
      <c r="F25" s="22" t="n">
        <v>1</v>
      </c>
      <c r="G25" s="22" t="n">
        <v>1</v>
      </c>
      <c r="H25" s="22" t="n">
        <v>1024</v>
      </c>
      <c r="I25" s="28" t="n">
        <v>3.434</v>
      </c>
      <c r="J25" s="24" t="n">
        <v>-0.25</v>
      </c>
      <c r="K25" s="17" t="inlineStr"/>
    </row>
    <row r="26">
      <c r="A26" s="22" t="n">
        <v>10</v>
      </c>
      <c r="B26" s="22" t="n">
        <v>2060</v>
      </c>
      <c r="C26" s="56" t="inlineStr">
        <is>
          <t>BAU</t>
        </is>
      </c>
      <c r="D26" s="23" t="n">
        <v>0</v>
      </c>
      <c r="E26" s="22" t="n">
        <v>37</v>
      </c>
      <c r="F26" s="22" t="n">
        <v>1</v>
      </c>
      <c r="G26" s="22" t="n">
        <v>1</v>
      </c>
      <c r="H26" s="22" t="n">
        <v>1369</v>
      </c>
      <c r="I26" s="28" t="n">
        <v>0</v>
      </c>
      <c r="J26" s="24" t="n">
        <v>-1</v>
      </c>
      <c r="K26" s="17" t="inlineStr">
        <is>
          <t>NZE target</t>
        </is>
      </c>
    </row>
    <row r="27">
      <c r="A27" s="22" t="n">
        <v>11</v>
      </c>
      <c r="B27" s="22" t="n">
        <v>2023</v>
      </c>
      <c r="C27" s="57" t="inlineStr">
        <is>
          <t>JETP</t>
        </is>
      </c>
      <c r="D27" s="23" t="n">
        <v>15.3</v>
      </c>
      <c r="E27" s="22" t="n">
        <v>0</v>
      </c>
      <c r="F27" s="22" t="n">
        <v>0</v>
      </c>
      <c r="G27" s="22" t="n">
        <v>0</v>
      </c>
      <c r="H27" s="22" t="n">
        <v>0</v>
      </c>
      <c r="I27" s="28" t="n">
        <v>2.7912</v>
      </c>
      <c r="J27" s="24" t="n">
        <v>0</v>
      </c>
      <c r="K27" s="17" t="inlineStr"/>
    </row>
    <row r="28">
      <c r="A28" s="22" t="n">
        <v>12</v>
      </c>
      <c r="B28" s="22" t="n">
        <v>2025</v>
      </c>
      <c r="C28" s="57" t="inlineStr">
        <is>
          <t>JETP</t>
        </is>
      </c>
      <c r="D28" s="23" t="n">
        <v>18.5</v>
      </c>
      <c r="E28" s="22" t="n">
        <v>2</v>
      </c>
      <c r="F28" s="22" t="n">
        <v>0</v>
      </c>
      <c r="G28" s="22" t="n">
        <v>0</v>
      </c>
      <c r="H28" s="22" t="n">
        <v>4</v>
      </c>
      <c r="I28" s="28" t="n">
        <v>2.9704</v>
      </c>
      <c r="J28" s="24" t="n">
        <v>0.2092</v>
      </c>
      <c r="K28" s="17" t="inlineStr"/>
    </row>
    <row r="29">
      <c r="A29" s="22" t="n">
        <v>13</v>
      </c>
      <c r="B29" s="22" t="n">
        <v>2028</v>
      </c>
      <c r="C29" s="57" t="inlineStr">
        <is>
          <t>JETP</t>
        </is>
      </c>
      <c r="D29" s="23" t="n">
        <v>26</v>
      </c>
      <c r="E29" s="22" t="n">
        <v>5</v>
      </c>
      <c r="F29" s="22" t="n">
        <v>0</v>
      </c>
      <c r="G29" s="22" t="n">
        <v>0</v>
      </c>
      <c r="H29" s="22" t="n">
        <v>25</v>
      </c>
      <c r="I29" s="28" t="n">
        <v>3.2958</v>
      </c>
      <c r="J29" s="24" t="n">
        <v>0.4054</v>
      </c>
      <c r="K29" s="17" t="inlineStr"/>
    </row>
    <row r="30">
      <c r="A30" s="22" t="n">
        <v>14</v>
      </c>
      <c r="B30" s="22" t="n">
        <v>2030</v>
      </c>
      <c r="C30" s="57" t="inlineStr">
        <is>
          <t>JETP</t>
        </is>
      </c>
      <c r="D30" s="23" t="n">
        <v>22</v>
      </c>
      <c r="E30" s="22" t="n">
        <v>7</v>
      </c>
      <c r="F30" s="22" t="n">
        <v>1</v>
      </c>
      <c r="G30" s="22" t="n">
        <v>0</v>
      </c>
      <c r="H30" s="22" t="n">
        <v>49</v>
      </c>
      <c r="I30" s="28" t="n">
        <v>3.1355</v>
      </c>
      <c r="J30" s="24" t="n">
        <v>-0.1538</v>
      </c>
      <c r="K30" s="17" t="inlineStr">
        <is>
          <t>NDC 2030</t>
        </is>
      </c>
    </row>
    <row r="31">
      <c r="A31" s="22" t="n">
        <v>15</v>
      </c>
      <c r="B31" s="22" t="n">
        <v>2035</v>
      </c>
      <c r="C31" s="57" t="inlineStr">
        <is>
          <t>JETP</t>
        </is>
      </c>
      <c r="D31" s="23" t="n">
        <v>17</v>
      </c>
      <c r="E31" s="22" t="n">
        <v>12</v>
      </c>
      <c r="F31" s="22" t="n">
        <v>1</v>
      </c>
      <c r="G31" s="22" t="n">
        <v>1</v>
      </c>
      <c r="H31" s="22" t="n">
        <v>144</v>
      </c>
      <c r="I31" s="28" t="n">
        <v>2.8904</v>
      </c>
      <c r="J31" s="24" t="n">
        <v>-0.2273</v>
      </c>
      <c r="K31" s="17" t="inlineStr"/>
    </row>
    <row r="32">
      <c r="A32" s="22" t="n">
        <v>16</v>
      </c>
      <c r="B32" s="22" t="n">
        <v>2040</v>
      </c>
      <c r="C32" s="57" t="inlineStr">
        <is>
          <t>JETP</t>
        </is>
      </c>
      <c r="D32" s="23" t="n">
        <v>12</v>
      </c>
      <c r="E32" s="22" t="n">
        <v>17</v>
      </c>
      <c r="F32" s="22" t="n">
        <v>1</v>
      </c>
      <c r="G32" s="22" t="n">
        <v>1</v>
      </c>
      <c r="H32" s="22" t="n">
        <v>289</v>
      </c>
      <c r="I32" s="28" t="n">
        <v>2.5649</v>
      </c>
      <c r="J32" s="24" t="n">
        <v>-0.2941</v>
      </c>
      <c r="K32" s="17" t="inlineStr"/>
    </row>
    <row r="33">
      <c r="A33" s="22" t="n">
        <v>17</v>
      </c>
      <c r="B33" s="22" t="n">
        <v>2045</v>
      </c>
      <c r="C33" s="57" t="inlineStr">
        <is>
          <t>JETP</t>
        </is>
      </c>
      <c r="D33" s="23" t="n">
        <v>7</v>
      </c>
      <c r="E33" s="22" t="n">
        <v>22</v>
      </c>
      <c r="F33" s="22" t="n">
        <v>1</v>
      </c>
      <c r="G33" s="22" t="n">
        <v>1</v>
      </c>
      <c r="H33" s="22" t="n">
        <v>484</v>
      </c>
      <c r="I33" s="28" t="n">
        <v>2.0794</v>
      </c>
      <c r="J33" s="24" t="n">
        <v>-0.4167</v>
      </c>
      <c r="K33" s="17" t="inlineStr"/>
    </row>
    <row r="34">
      <c r="A34" s="22" t="n">
        <v>18</v>
      </c>
      <c r="B34" s="22" t="n">
        <v>2050</v>
      </c>
      <c r="C34" s="57" t="inlineStr">
        <is>
          <t>JETP</t>
        </is>
      </c>
      <c r="D34" s="23" t="n">
        <v>3.5</v>
      </c>
      <c r="E34" s="22" t="n">
        <v>27</v>
      </c>
      <c r="F34" s="22" t="n">
        <v>1</v>
      </c>
      <c r="G34" s="22" t="n">
        <v>1</v>
      </c>
      <c r="H34" s="22" t="n">
        <v>729</v>
      </c>
      <c r="I34" s="28" t="n">
        <v>1.5041</v>
      </c>
      <c r="J34" s="24" t="n">
        <v>-0.5</v>
      </c>
      <c r="K34" s="17" t="inlineStr"/>
    </row>
    <row r="35">
      <c r="A35" s="22" t="n">
        <v>19</v>
      </c>
      <c r="B35" s="22" t="n">
        <v>2055</v>
      </c>
      <c r="C35" s="57" t="inlineStr">
        <is>
          <t>JETP</t>
        </is>
      </c>
      <c r="D35" s="23" t="n">
        <v>1.5</v>
      </c>
      <c r="E35" s="22" t="n">
        <v>32</v>
      </c>
      <c r="F35" s="22" t="n">
        <v>1</v>
      </c>
      <c r="G35" s="22" t="n">
        <v>1</v>
      </c>
      <c r="H35" s="22" t="n">
        <v>1024</v>
      </c>
      <c r="I35" s="28" t="n">
        <v>0.9163</v>
      </c>
      <c r="J35" s="24" t="n">
        <v>-0.5714</v>
      </c>
      <c r="K35" s="17" t="inlineStr"/>
    </row>
    <row r="36">
      <c r="A36" s="22" t="n">
        <v>20</v>
      </c>
      <c r="B36" s="22" t="n">
        <v>2060</v>
      </c>
      <c r="C36" s="57" t="inlineStr">
        <is>
          <t>JETP</t>
        </is>
      </c>
      <c r="D36" s="23" t="n">
        <v>0</v>
      </c>
      <c r="E36" s="22" t="n">
        <v>37</v>
      </c>
      <c r="F36" s="22" t="n">
        <v>1</v>
      </c>
      <c r="G36" s="22" t="n">
        <v>1</v>
      </c>
      <c r="H36" s="22" t="n">
        <v>1369</v>
      </c>
      <c r="I36" s="28" t="n">
        <v>0</v>
      </c>
      <c r="J36" s="24" t="n">
        <v>-1</v>
      </c>
      <c r="K36" s="17" t="inlineStr">
        <is>
          <t>NZE target</t>
        </is>
      </c>
    </row>
    <row r="37">
      <c r="A37" s="22" t="n">
        <v>21</v>
      </c>
      <c r="B37" s="22" t="n">
        <v>2023</v>
      </c>
      <c r="C37" s="58" t="inlineStr">
        <is>
          <t>NZE</t>
        </is>
      </c>
      <c r="D37" s="23" t="n">
        <v>15.3</v>
      </c>
      <c r="E37" s="22" t="n">
        <v>0</v>
      </c>
      <c r="F37" s="22" t="n">
        <v>0</v>
      </c>
      <c r="G37" s="22" t="n">
        <v>0</v>
      </c>
      <c r="H37" s="22" t="n">
        <v>0</v>
      </c>
      <c r="I37" s="28" t="n">
        <v>2.7912</v>
      </c>
      <c r="J37" s="24" t="n">
        <v>0</v>
      </c>
      <c r="K37" s="17" t="inlineStr"/>
    </row>
    <row r="38">
      <c r="A38" s="22" t="n">
        <v>22</v>
      </c>
      <c r="B38" s="22" t="n">
        <v>2025</v>
      </c>
      <c r="C38" s="58" t="inlineStr">
        <is>
          <t>NZE</t>
        </is>
      </c>
      <c r="D38" s="23" t="n">
        <v>14</v>
      </c>
      <c r="E38" s="22" t="n">
        <v>2</v>
      </c>
      <c r="F38" s="22" t="n">
        <v>0</v>
      </c>
      <c r="G38" s="22" t="n">
        <v>0</v>
      </c>
      <c r="H38" s="22" t="n">
        <v>4</v>
      </c>
      <c r="I38" s="28" t="n">
        <v>2.7081</v>
      </c>
      <c r="J38" s="24" t="n">
        <v>-0.08500000000000001</v>
      </c>
      <c r="K38" s="17" t="inlineStr"/>
    </row>
    <row r="39">
      <c r="A39" s="22" t="n">
        <v>23</v>
      </c>
      <c r="B39" s="22" t="n">
        <v>2028</v>
      </c>
      <c r="C39" s="58" t="inlineStr">
        <is>
          <t>NZE</t>
        </is>
      </c>
      <c r="D39" s="23" t="n">
        <v>18</v>
      </c>
      <c r="E39" s="22" t="n">
        <v>5</v>
      </c>
      <c r="F39" s="22" t="n">
        <v>0</v>
      </c>
      <c r="G39" s="22" t="n">
        <v>0</v>
      </c>
      <c r="H39" s="22" t="n">
        <v>25</v>
      </c>
      <c r="I39" s="28" t="n">
        <v>2.9444</v>
      </c>
      <c r="J39" s="24" t="n">
        <v>0.2857</v>
      </c>
      <c r="K39" s="17" t="inlineStr"/>
    </row>
    <row r="40">
      <c r="A40" s="22" t="n">
        <v>24</v>
      </c>
      <c r="B40" s="22" t="n">
        <v>2030</v>
      </c>
      <c r="C40" s="58" t="inlineStr">
        <is>
          <t>NZE</t>
        </is>
      </c>
      <c r="D40" s="23" t="n">
        <v>12</v>
      </c>
      <c r="E40" s="22" t="n">
        <v>7</v>
      </c>
      <c r="F40" s="22" t="n">
        <v>1</v>
      </c>
      <c r="G40" s="22" t="n">
        <v>0</v>
      </c>
      <c r="H40" s="22" t="n">
        <v>49</v>
      </c>
      <c r="I40" s="28" t="n">
        <v>2.5649</v>
      </c>
      <c r="J40" s="24" t="n">
        <v>-0.3333</v>
      </c>
      <c r="K40" s="17" t="inlineStr">
        <is>
          <t>NDC 2030</t>
        </is>
      </c>
    </row>
    <row r="41">
      <c r="A41" s="22" t="n">
        <v>25</v>
      </c>
      <c r="B41" s="22" t="n">
        <v>2035</v>
      </c>
      <c r="C41" s="58" t="inlineStr">
        <is>
          <t>NZE</t>
        </is>
      </c>
      <c r="D41" s="23" t="n">
        <v>8</v>
      </c>
      <c r="E41" s="22" t="n">
        <v>12</v>
      </c>
      <c r="F41" s="22" t="n">
        <v>1</v>
      </c>
      <c r="G41" s="22" t="n">
        <v>1</v>
      </c>
      <c r="H41" s="22" t="n">
        <v>144</v>
      </c>
      <c r="I41" s="28" t="n">
        <v>2.1972</v>
      </c>
      <c r="J41" s="24" t="n">
        <v>-0.3333</v>
      </c>
      <c r="K41" s="17" t="inlineStr"/>
    </row>
    <row r="42">
      <c r="A42" s="22" t="n">
        <v>26</v>
      </c>
      <c r="B42" s="22" t="n">
        <v>2040</v>
      </c>
      <c r="C42" s="58" t="inlineStr">
        <is>
          <t>NZE</t>
        </is>
      </c>
      <c r="D42" s="23" t="n">
        <v>5</v>
      </c>
      <c r="E42" s="22" t="n">
        <v>17</v>
      </c>
      <c r="F42" s="22" t="n">
        <v>1</v>
      </c>
      <c r="G42" s="22" t="n">
        <v>1</v>
      </c>
      <c r="H42" s="22" t="n">
        <v>289</v>
      </c>
      <c r="I42" s="28" t="n">
        <v>1.7918</v>
      </c>
      <c r="J42" s="24" t="n">
        <v>-0.375</v>
      </c>
      <c r="K42" s="17" t="inlineStr"/>
    </row>
    <row r="43">
      <c r="A43" s="22" t="n">
        <v>27</v>
      </c>
      <c r="B43" s="22" t="n">
        <v>2045</v>
      </c>
      <c r="C43" s="58" t="inlineStr">
        <is>
          <t>NZE</t>
        </is>
      </c>
      <c r="D43" s="23" t="n">
        <v>2</v>
      </c>
      <c r="E43" s="22" t="n">
        <v>22</v>
      </c>
      <c r="F43" s="22" t="n">
        <v>1</v>
      </c>
      <c r="G43" s="22" t="n">
        <v>1</v>
      </c>
      <c r="H43" s="22" t="n">
        <v>484</v>
      </c>
      <c r="I43" s="28" t="n">
        <v>1.0986</v>
      </c>
      <c r="J43" s="24" t="n">
        <v>-0.6</v>
      </c>
      <c r="K43" s="17" t="inlineStr"/>
    </row>
    <row r="44">
      <c r="A44" s="22" t="n">
        <v>28</v>
      </c>
      <c r="B44" s="22" t="n">
        <v>2050</v>
      </c>
      <c r="C44" s="58" t="inlineStr">
        <is>
          <t>NZE</t>
        </is>
      </c>
      <c r="D44" s="23" t="n">
        <v>0</v>
      </c>
      <c r="E44" s="22" t="n">
        <v>27</v>
      </c>
      <c r="F44" s="22" t="n">
        <v>1</v>
      </c>
      <c r="G44" s="22" t="n">
        <v>1</v>
      </c>
      <c r="H44" s="22" t="n">
        <v>729</v>
      </c>
      <c r="I44" s="28" t="n">
        <v>0</v>
      </c>
      <c r="J44" s="24" t="n">
        <v>-1</v>
      </c>
      <c r="K44" s="17" t="inlineStr"/>
    </row>
    <row r="45">
      <c r="A45" s="22" t="n">
        <v>29</v>
      </c>
      <c r="B45" s="22" t="n">
        <v>2055</v>
      </c>
      <c r="C45" s="58" t="inlineStr">
        <is>
          <t>NZE</t>
        </is>
      </c>
      <c r="D45" s="23" t="n">
        <v>0</v>
      </c>
      <c r="E45" s="22" t="n">
        <v>32</v>
      </c>
      <c r="F45" s="22" t="n">
        <v>1</v>
      </c>
      <c r="G45" s="22" t="n">
        <v>1</v>
      </c>
      <c r="H45" s="22" t="n">
        <v>1024</v>
      </c>
      <c r="I45" s="28" t="n">
        <v>0</v>
      </c>
      <c r="J45" s="24" t="n">
        <v>0</v>
      </c>
      <c r="K45" s="17" t="inlineStr"/>
    </row>
    <row r="46">
      <c r="A46" s="22" t="n">
        <v>30</v>
      </c>
      <c r="B46" s="22" t="n">
        <v>2060</v>
      </c>
      <c r="C46" s="58" t="inlineStr">
        <is>
          <t>NZE</t>
        </is>
      </c>
      <c r="D46" s="23" t="n">
        <v>0</v>
      </c>
      <c r="E46" s="22" t="n">
        <v>37</v>
      </c>
      <c r="F46" s="22" t="n">
        <v>1</v>
      </c>
      <c r="G46" s="22" t="n">
        <v>1</v>
      </c>
      <c r="H46" s="22" t="n">
        <v>1369</v>
      </c>
      <c r="I46" s="28" t="n">
        <v>0</v>
      </c>
      <c r="J46" s="24" t="n">
        <v>0</v>
      </c>
      <c r="K46" s="17" t="inlineStr">
        <is>
          <t>NZE target</t>
        </is>
      </c>
    </row>
  </sheetData>
  <mergeCells count="3">
    <mergeCell ref="A15:M15"/>
    <mergeCell ref="A2:M2"/>
    <mergeCell ref="A1:M1"/>
  </mergeCells>
  <conditionalFormatting sqref="C4:C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6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</cols>
  <sheetData>
    <row r="1">
      <c r="A1" s="59" t="inlineStr">
        <is>
          <t>MODEL REGRESI 3 — Y: Skor_DSS &amp; Reduksi_Emisi_Pct | Menjawab RM-3: Prioritas Strategi Penurunan Emisi</t>
        </is>
      </c>
    </row>
    <row r="2">
      <c r="A2" s="2" t="inlineStr">
        <is>
          <t>Sumber: WRI-Bappenas (2025), IEEFA (2024), CREA-CELIOS (2024) | DSS Scoring: bobot teknis=0.30, biaya=0.25, lembaga=0.20, perawatan=0.15, masyarakat=0.10</t>
        </is>
      </c>
    </row>
    <row r="3" ht="62" customHeight="1">
      <c r="A3" s="16" t="inlineStr">
        <is>
          <t>No</t>
        </is>
      </c>
      <c r="B3" s="16" t="inlineStr">
        <is>
          <t>Kode</t>
        </is>
      </c>
      <c r="C3" s="16" t="inlineStr">
        <is>
          <t>Strategi</t>
        </is>
      </c>
      <c r="D3" s="16" t="inlineStr">
        <is>
          <t>Y1: Reduksi
Emisi_Pct</t>
        </is>
      </c>
      <c r="E3" s="16" t="inlineStr">
        <is>
          <t>Y2: Skor_DSS
(0-100)</t>
        </is>
      </c>
      <c r="F3" s="16" t="inlineStr">
        <is>
          <t>Y3: Prioritas
(1=Jangka Pendek)</t>
        </is>
      </c>
      <c r="G3" s="16" t="inlineStr">
        <is>
          <t>X1: Skor_Teknis
(/10)</t>
        </is>
      </c>
      <c r="H3" s="16" t="inlineStr">
        <is>
          <t>X2: CAPEX
(USD juta)</t>
        </is>
      </c>
      <c r="I3" s="16" t="inlineStr">
        <is>
          <t>X3: Payback
(tahun)</t>
        </is>
      </c>
      <c r="J3" s="16" t="inlineStr">
        <is>
          <t>X4: Kesiapan
Teknologi (1-3)</t>
        </is>
      </c>
      <c r="K3" s="16" t="inlineStr">
        <is>
          <t>X5: Skor_Lembaga
(/10)</t>
        </is>
      </c>
      <c r="L3" s="16" t="inlineStr">
        <is>
          <t>X6: Skor_Masyarakat
(/10)</t>
        </is>
      </c>
      <c r="M3" s="16" t="inlineStr">
        <is>
          <t>X7: Cakupan
Smelter (unit)</t>
        </is>
      </c>
      <c r="N3" s="16" t="inlineStr">
        <is>
          <t>Nilai_Teknis
(X1×0.30)</t>
        </is>
      </c>
      <c r="O3" s="16" t="inlineStr">
        <is>
          <t>Nilai_Biaya
((10-payback/2)×0.25)</t>
        </is>
      </c>
      <c r="P3" s="16" t="inlineStr">
        <is>
          <t>Nilai_Lembaga
(X5×0.20)</t>
        </is>
      </c>
      <c r="Q3" s="16" t="inlineStr">
        <is>
          <t>Nilai_Perawatan
(/10×0.15)</t>
        </is>
      </c>
      <c r="R3" s="16" t="inlineStr">
        <is>
          <t>Nilai_Masyarakat
(X6×0.10)</t>
        </is>
      </c>
      <c r="S3" s="16" t="inlineStr">
        <is>
          <t>Catatan Model</t>
        </is>
      </c>
    </row>
    <row r="4" ht="30" customHeight="1">
      <c r="A4" s="22" t="n">
        <v>1</v>
      </c>
      <c r="B4" s="17" t="inlineStr">
        <is>
          <t>EBT</t>
        </is>
      </c>
      <c r="C4" s="19" t="inlineStr">
        <is>
          <t>Transisi Energi Terbarukan (PLTU → PLTS/PLTA/PLTB)</t>
        </is>
      </c>
      <c r="D4" s="24" t="n">
        <v>0.65</v>
      </c>
      <c r="E4" s="50" t="n">
        <v>79.2</v>
      </c>
      <c r="F4" s="60" t="n">
        <v>1</v>
      </c>
      <c r="G4" s="23" t="n">
        <v>9</v>
      </c>
      <c r="H4" s="22" t="n">
        <v>200</v>
      </c>
      <c r="I4" s="22" t="n">
        <v>7</v>
      </c>
      <c r="J4" s="22" t="n">
        <v>3</v>
      </c>
      <c r="K4" s="23" t="n">
        <v>8</v>
      </c>
      <c r="L4" s="23" t="n">
        <v>8</v>
      </c>
      <c r="M4" s="22" t="n">
        <v>23</v>
      </c>
      <c r="N4" s="28" t="n">
        <v>27</v>
      </c>
      <c r="O4" s="28" t="n">
        <v>16.25</v>
      </c>
      <c r="P4" s="28" t="n">
        <v>16</v>
      </c>
      <c r="Q4" s="28" t="n">
        <v>12</v>
      </c>
      <c r="R4" s="28" t="n">
        <v>8</v>
      </c>
      <c r="S4" s="17" t="inlineStr"/>
    </row>
    <row r="5" ht="30" customHeight="1">
      <c r="A5" s="22" t="n">
        <v>2</v>
      </c>
      <c r="B5" s="17" t="inlineStr">
        <is>
          <t>EFI</t>
        </is>
      </c>
      <c r="C5" s="19" t="inlineStr">
        <is>
          <t>Efisiensi Energi Smelter (WHR + optimasi RKEF)</t>
        </is>
      </c>
      <c r="D5" s="24" t="n">
        <v>0.125</v>
      </c>
      <c r="E5" s="50" t="n">
        <v>76</v>
      </c>
      <c r="F5" s="60" t="n">
        <v>1</v>
      </c>
      <c r="G5" s="23" t="n">
        <v>8</v>
      </c>
      <c r="H5" s="22" t="n">
        <v>45</v>
      </c>
      <c r="I5" s="22" t="n">
        <v>4</v>
      </c>
      <c r="J5" s="22" t="n">
        <v>3</v>
      </c>
      <c r="K5" s="23" t="n">
        <v>7</v>
      </c>
      <c r="L5" s="23" t="n">
        <v>6</v>
      </c>
      <c r="M5" s="22" t="n">
        <v>49</v>
      </c>
      <c r="N5" s="28" t="n">
        <v>24</v>
      </c>
      <c r="O5" s="28" t="n">
        <v>20</v>
      </c>
      <c r="P5" s="28" t="n">
        <v>14</v>
      </c>
      <c r="Q5" s="28" t="n">
        <v>12</v>
      </c>
      <c r="R5" s="28" t="n">
        <v>6</v>
      </c>
      <c r="S5" s="17" t="inlineStr"/>
    </row>
    <row r="6" ht="30" customHeight="1">
      <c r="A6" s="22" t="n">
        <v>3</v>
      </c>
      <c r="B6" s="17" t="inlineStr">
        <is>
          <t>APC</t>
        </is>
      </c>
      <c r="C6" s="19" t="inlineStr">
        <is>
          <t>Pengendalian Polusi Udara (APC Filter PM2.5/SO₂)</t>
        </is>
      </c>
      <c r="D6" s="24" t="n">
        <v>0.08</v>
      </c>
      <c r="E6" s="50" t="n">
        <v>76.3</v>
      </c>
      <c r="F6" s="60" t="n">
        <v>1</v>
      </c>
      <c r="G6" s="23" t="n">
        <v>8</v>
      </c>
      <c r="H6" s="22" t="n">
        <v>15</v>
      </c>
      <c r="I6" s="22" t="n">
        <v>5</v>
      </c>
      <c r="J6" s="22" t="n">
        <v>3</v>
      </c>
      <c r="K6" s="23" t="n">
        <v>7</v>
      </c>
      <c r="L6" s="23" t="n">
        <v>9</v>
      </c>
      <c r="M6" s="22" t="n">
        <v>49</v>
      </c>
      <c r="N6" s="28" t="n">
        <v>24</v>
      </c>
      <c r="O6" s="28" t="n">
        <v>18.75</v>
      </c>
      <c r="P6" s="28" t="n">
        <v>14</v>
      </c>
      <c r="Q6" s="28" t="n">
        <v>10.5</v>
      </c>
      <c r="R6" s="28" t="n">
        <v>9</v>
      </c>
      <c r="S6" s="17" t="inlineStr"/>
    </row>
    <row r="7" ht="30" customHeight="1">
      <c r="A7" s="22" t="n">
        <v>4</v>
      </c>
      <c r="B7" s="17" t="inlineStr">
        <is>
          <t>HPL</t>
        </is>
      </c>
      <c r="C7" s="19" t="inlineStr">
        <is>
          <t>Transisi Proses RKEF → HPAL</t>
        </is>
      </c>
      <c r="D7" s="24" t="n">
        <v>0.8</v>
      </c>
      <c r="E7" s="31" t="n">
        <v>65.5</v>
      </c>
      <c r="F7" s="34" t="n">
        <v>2</v>
      </c>
      <c r="G7" s="23" t="n">
        <v>9</v>
      </c>
      <c r="H7" s="22" t="n">
        <v>400</v>
      </c>
      <c r="I7" s="22" t="n">
        <v>10</v>
      </c>
      <c r="J7" s="22" t="n">
        <v>2</v>
      </c>
      <c r="K7" s="23" t="n">
        <v>6</v>
      </c>
      <c r="L7" s="23" t="n">
        <v>5</v>
      </c>
      <c r="M7" s="22" t="n">
        <v>5</v>
      </c>
      <c r="N7" s="28" t="n">
        <v>27</v>
      </c>
      <c r="O7" s="28" t="n">
        <v>12.5</v>
      </c>
      <c r="P7" s="28" t="n">
        <v>12</v>
      </c>
      <c r="Q7" s="28" t="n">
        <v>9</v>
      </c>
      <c r="R7" s="28" t="n">
        <v>5</v>
      </c>
      <c r="S7" s="17" t="inlineStr"/>
    </row>
    <row r="8" ht="30" customHeight="1">
      <c r="A8" s="22" t="n">
        <v>5</v>
      </c>
      <c r="B8" s="17" t="inlineStr">
        <is>
          <t>CCS</t>
        </is>
      </c>
      <c r="C8" s="19" t="inlineStr">
        <is>
          <t>Carbon Capture &amp; Storage (CCS)</t>
        </is>
      </c>
      <c r="D8" s="24" t="n">
        <v>0.2</v>
      </c>
      <c r="E8" s="25" t="n">
        <v>46.8</v>
      </c>
      <c r="F8" s="29" t="n">
        <v>3</v>
      </c>
      <c r="G8" s="23" t="n">
        <v>6</v>
      </c>
      <c r="H8" s="22" t="n">
        <v>120</v>
      </c>
      <c r="I8" s="22" t="n">
        <v>15</v>
      </c>
      <c r="J8" s="22" t="n">
        <v>2</v>
      </c>
      <c r="K8" s="23" t="n">
        <v>5</v>
      </c>
      <c r="L8" s="23" t="n">
        <v>5</v>
      </c>
      <c r="M8" s="22" t="n">
        <v>10</v>
      </c>
      <c r="N8" s="28" t="n">
        <v>18</v>
      </c>
      <c r="O8" s="28" t="n">
        <v>6.25</v>
      </c>
      <c r="P8" s="28" t="n">
        <v>10</v>
      </c>
      <c r="Q8" s="28" t="n">
        <v>7.5</v>
      </c>
      <c r="R8" s="28" t="n">
        <v>5</v>
      </c>
      <c r="S8" s="17" t="inlineStr"/>
    </row>
    <row r="9" ht="30" customHeight="1">
      <c r="A9" s="22" t="n">
        <v>6</v>
      </c>
      <c r="B9" s="17" t="inlineStr">
        <is>
          <t>H2G</t>
        </is>
      </c>
      <c r="C9" s="19" t="inlineStr">
        <is>
          <t>Hidrogen Hijau (H₂ menggantikan batubara)</t>
        </is>
      </c>
      <c r="D9" s="24" t="n">
        <v>0.78</v>
      </c>
      <c r="E9" s="31" t="n">
        <v>54.5</v>
      </c>
      <c r="F9" s="34" t="n">
        <v>2</v>
      </c>
      <c r="G9" s="23" t="n">
        <v>7</v>
      </c>
      <c r="H9" s="22" t="n">
        <v>850</v>
      </c>
      <c r="I9" s="22" t="n">
        <v>12</v>
      </c>
      <c r="J9" s="22" t="n">
        <v>1</v>
      </c>
      <c r="K9" s="23" t="n">
        <v>5</v>
      </c>
      <c r="L9" s="23" t="n">
        <v>6</v>
      </c>
      <c r="M9" s="22" t="n">
        <v>2</v>
      </c>
      <c r="N9" s="28" t="n">
        <v>21</v>
      </c>
      <c r="O9" s="28" t="n">
        <v>10</v>
      </c>
      <c r="P9" s="28" t="n">
        <v>10</v>
      </c>
      <c r="Q9" s="28" t="n">
        <v>7.5</v>
      </c>
      <c r="R9" s="28" t="n">
        <v>6</v>
      </c>
      <c r="S9" s="17" t="inlineStr"/>
    </row>
    <row r="10" ht="30" customHeight="1">
      <c r="A10" s="22" t="n">
        <v>7</v>
      </c>
      <c r="B10" s="17" t="inlineStr">
        <is>
          <t>ECO</t>
        </is>
      </c>
      <c r="C10" s="19" t="inlineStr">
        <is>
          <t>Carbon Offset + Revegetasi Mangrove</t>
        </is>
      </c>
      <c r="D10" s="24" t="n">
        <v>0.075</v>
      </c>
      <c r="E10" s="31" t="n">
        <v>62.5</v>
      </c>
      <c r="F10" s="34" t="n">
        <v>2</v>
      </c>
      <c r="G10" s="23" t="n">
        <v>6</v>
      </c>
      <c r="H10" s="22" t="n">
        <v>15</v>
      </c>
      <c r="I10" s="22" t="n">
        <v>10</v>
      </c>
      <c r="J10" s="22" t="n">
        <v>3</v>
      </c>
      <c r="K10" s="23" t="n">
        <v>7</v>
      </c>
      <c r="L10" s="23" t="n">
        <v>9</v>
      </c>
      <c r="M10" s="22" t="n">
        <v>49</v>
      </c>
      <c r="N10" s="28" t="n">
        <v>18</v>
      </c>
      <c r="O10" s="28" t="n">
        <v>12.5</v>
      </c>
      <c r="P10" s="28" t="n">
        <v>14</v>
      </c>
      <c r="Q10" s="28" t="n">
        <v>9</v>
      </c>
      <c r="R10" s="28" t="n">
        <v>9</v>
      </c>
      <c r="S10" s="17" t="inlineStr"/>
    </row>
    <row r="12">
      <c r="A12" s="54" t="inlineStr">
        <is>
          <t>RUMUS DSS (Decision Support System) — Multi-Criteria Decision Analysis</t>
        </is>
      </c>
    </row>
    <row r="13" ht="22" customHeight="1">
      <c r="A13" s="52" t="inlineStr">
        <is>
          <t>Skor_DSS</t>
        </is>
      </c>
      <c r="B13" s="46" t="n"/>
      <c r="C13" s="47" t="n"/>
      <c r="D13" s="19">
        <f> (Skor_Teknis×0.30) + (Skor_Biaya×0.25) + (Skor_Lembaga×0.20) + (Skor_Perawatan×0.15) + (Skor_Masyarakat×0.10)</f>
        <v/>
      </c>
      <c r="E13" s="46" t="n"/>
      <c r="F13" s="46" t="n"/>
      <c r="G13" s="46" t="n"/>
      <c r="H13" s="46" t="n"/>
      <c r="I13" s="46" t="n"/>
      <c r="J13" s="46" t="n"/>
      <c r="K13" s="46" t="n"/>
      <c r="L13" s="46" t="n"/>
      <c r="M13" s="47" t="n"/>
      <c r="N13" s="61" t="inlineStr">
        <is>
          <t>Sesuai Turban dkk. (2015) — MCDA tertimbang</t>
        </is>
      </c>
      <c r="O13" s="46" t="n"/>
      <c r="P13" s="46" t="n"/>
      <c r="Q13" s="46" t="n"/>
      <c r="R13" s="46" t="n"/>
      <c r="S13" s="47" t="n"/>
    </row>
    <row r="14" ht="22" customHeight="1">
      <c r="A14" s="52" t="inlineStr">
        <is>
          <t>Interpretasi Prioritas</t>
        </is>
      </c>
      <c r="B14" s="46" t="n"/>
      <c r="C14" s="47" t="n"/>
      <c r="D14" s="19" t="inlineStr">
        <is>
          <t>1 = Jangka Pendek (payback ≤7 th &amp; skor ≥60) | 2 = Menengah | 3 = Jangka Panjang</t>
        </is>
      </c>
      <c r="E14" s="46" t="n"/>
      <c r="F14" s="46" t="n"/>
      <c r="G14" s="46" t="n"/>
      <c r="H14" s="46" t="n"/>
      <c r="I14" s="46" t="n"/>
      <c r="J14" s="46" t="n"/>
      <c r="K14" s="46" t="n"/>
      <c r="L14" s="46" t="n"/>
      <c r="M14" s="47" t="n"/>
      <c r="N14" s="61" t="inlineStr">
        <is>
          <t>Kelas ordinal untuk model regresi logistik ordinal</t>
        </is>
      </c>
      <c r="O14" s="46" t="n"/>
      <c r="P14" s="46" t="n"/>
      <c r="Q14" s="46" t="n"/>
      <c r="R14" s="46" t="n"/>
      <c r="S14" s="47" t="n"/>
    </row>
    <row r="15" ht="22" customHeight="1">
      <c r="A15" s="52" t="inlineStr">
        <is>
          <t>Model Regresi 3a</t>
        </is>
      </c>
      <c r="B15" s="46" t="n"/>
      <c r="C15" s="47" t="n"/>
      <c r="D15" s="19" t="inlineStr">
        <is>
          <t>Skor_DSS = β₀ + β₁·Reduksi_Pct + β₂·CAPEX + β₃·Payback + β₄·Kesiapan_Tek + ε</t>
        </is>
      </c>
      <c r="E15" s="46" t="n"/>
      <c r="F15" s="46" t="n"/>
      <c r="G15" s="46" t="n"/>
      <c r="H15" s="46" t="n"/>
      <c r="I15" s="46" t="n"/>
      <c r="J15" s="46" t="n"/>
      <c r="K15" s="46" t="n"/>
      <c r="L15" s="46" t="n"/>
      <c r="M15" s="47" t="n"/>
      <c r="N15" s="61" t="inlineStr">
        <is>
          <t>OLS standard — cek VIF untuk multikolinearitas CAPEX vs Payback</t>
        </is>
      </c>
      <c r="O15" s="46" t="n"/>
      <c r="P15" s="46" t="n"/>
      <c r="Q15" s="46" t="n"/>
      <c r="R15" s="46" t="n"/>
      <c r="S15" s="47" t="n"/>
    </row>
    <row r="16" ht="22" customHeight="1">
      <c r="A16" s="52" t="inlineStr">
        <is>
          <t>Model Regresi 3b</t>
        </is>
      </c>
      <c r="B16" s="46" t="n"/>
      <c r="C16" s="47" t="n"/>
      <c r="D16" s="19" t="inlineStr">
        <is>
          <t>Prioritas = f(Skor_DSS, Reduksi_Pct, CAPEX) — Ordinal Logistic Regression</t>
        </is>
      </c>
      <c r="E16" s="46" t="n"/>
      <c r="F16" s="46" t="n"/>
      <c r="G16" s="46" t="n"/>
      <c r="H16" s="46" t="n"/>
      <c r="I16" s="46" t="n"/>
      <c r="J16" s="46" t="n"/>
      <c r="K16" s="46" t="n"/>
      <c r="L16" s="46" t="n"/>
      <c r="M16" s="47" t="n"/>
      <c r="N16" s="61" t="inlineStr">
        <is>
          <t>Gunakan statsmodels.formula.api.mnlogit atau R ordinal::clm</t>
        </is>
      </c>
      <c r="O16" s="46" t="n"/>
      <c r="P16" s="46" t="n"/>
      <c r="Q16" s="46" t="n"/>
      <c r="R16" s="46" t="n"/>
      <c r="S16" s="47" t="n"/>
    </row>
  </sheetData>
  <mergeCells count="15">
    <mergeCell ref="N16:S16"/>
    <mergeCell ref="A13:C13"/>
    <mergeCell ref="N15:S15"/>
    <mergeCell ref="D14:M14"/>
    <mergeCell ref="A14:C14"/>
    <mergeCell ref="A1:S1"/>
    <mergeCell ref="N13:S13"/>
    <mergeCell ref="N14:S14"/>
    <mergeCell ref="D15:M15"/>
    <mergeCell ref="D16:M16"/>
    <mergeCell ref="A12:S12"/>
    <mergeCell ref="A15:C15"/>
    <mergeCell ref="A2:S2"/>
    <mergeCell ref="A16:C16"/>
    <mergeCell ref="D13:M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8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30" customWidth="1" min="14" max="14"/>
    <col width="18" customWidth="1" min="15" max="15"/>
  </cols>
  <sheetData>
    <row r="1">
      <c r="A1" s="62" t="inlineStr">
        <is>
          <t>MODEL REGRESI 4 — Y: Dampak PDB &amp; Tenaga Kerja | Menjawab RM-4: Kelayakan Ekonomi Transisi</t>
        </is>
      </c>
    </row>
    <row r="2">
      <c r="A2" s="2" t="inlineStr">
        <is>
          <t>Sumber: CREA-CELIOS (2024), Membantah Mitos Nilai Tambah | Unit: USD Miliar (PDB), Orang (TK)</t>
        </is>
      </c>
    </row>
    <row r="3">
      <c r="A3" s="63" t="inlineStr">
        <is>
          <t>IDENTITAS</t>
        </is>
      </c>
      <c r="C3" s="64" t="inlineStr">
        <is>
          <t>VARIABEL DEPENDEN (Y)</t>
        </is>
      </c>
      <c r="G3" s="65" t="inlineStr">
        <is>
          <t>VARIABEL INDEPENDEN (X)</t>
        </is>
      </c>
      <c r="K3" s="66" t="inlineStr">
        <is>
          <t>FEATURE ENGINEERING &amp; INSIGHT</t>
        </is>
      </c>
    </row>
    <row r="4" ht="52" customHeight="1">
      <c r="A4" s="16" t="inlineStr">
        <is>
          <t>No</t>
        </is>
      </c>
      <c r="B4" s="16" t="inlineStr">
        <is>
          <t>Obs_Label</t>
        </is>
      </c>
      <c r="C4" s="67" t="inlineStr">
        <is>
          <t>Y1: PDB_Nasional
(USD M)</t>
        </is>
      </c>
      <c r="D4" s="67" t="inlineStr">
        <is>
          <t>Y2: Upah_Pekerja
(USD M)</t>
        </is>
      </c>
      <c r="E4" s="67" t="inlineStr">
        <is>
          <t>Y3: TK_Nasional
(orang)</t>
        </is>
      </c>
      <c r="F4" s="67" t="inlineStr">
        <is>
          <t>Y4: Kerugian
Pertanian (USD M)</t>
        </is>
      </c>
      <c r="G4" s="49" t="inlineStr">
        <is>
          <t>X1: Skenario
(0=BAU,1=RE+APC)</t>
        </is>
      </c>
      <c r="H4" s="49" t="inlineStr">
        <is>
          <t>X2: Tahun_Ke
(1,5,10,15)</t>
        </is>
      </c>
      <c r="I4" s="49" t="inlineStr">
        <is>
          <t>X3: Kematian_Polusi
(kasus/tahun)</t>
        </is>
      </c>
      <c r="J4" s="49" t="inlineStr">
        <is>
          <t>X4: Beban_Ekonomi
Polusi (USD M)</t>
        </is>
      </c>
      <c r="K4" s="68" t="inlineStr">
        <is>
          <t>Delta_PDB
(RE+APC - BAU)</t>
        </is>
      </c>
      <c r="L4" s="68" t="inlineStr">
        <is>
          <t>Delta_TK
(RE+APC - BAU)</t>
        </is>
      </c>
      <c r="M4" s="68" t="inlineStr">
        <is>
          <t>ROI_Transisi
(ΔEkonomi/CAPEX)</t>
        </is>
      </c>
      <c r="N4" s="68" t="inlineStr">
        <is>
          <t>Catatan</t>
        </is>
      </c>
      <c r="O4" s="68" t="inlineStr">
        <is>
          <t>Sumber</t>
        </is>
      </c>
    </row>
    <row r="5" ht="26" customHeight="1">
      <c r="A5" s="22" t="n">
        <v>1</v>
      </c>
      <c r="B5" s="19" t="inlineStr">
        <is>
          <t>BAU — Tahun 1</t>
        </is>
      </c>
      <c r="C5" s="22" t="n">
        <v>18950</v>
      </c>
      <c r="D5" s="22" t="n"/>
      <c r="E5" s="22" t="n">
        <v>82547</v>
      </c>
      <c r="F5" s="22" t="n"/>
      <c r="G5" s="22" t="n">
        <v>0</v>
      </c>
      <c r="H5" s="22" t="n">
        <v>1</v>
      </c>
      <c r="I5" s="22" t="n"/>
      <c r="J5" s="22" t="n">
        <v>2630</v>
      </c>
      <c r="K5" s="22" t="n">
        <v>2250</v>
      </c>
      <c r="L5" s="22" t="n">
        <v>12753</v>
      </c>
      <c r="M5" s="23" t="n">
        <v>11.25</v>
      </c>
      <c r="N5" s="19" t="inlineStr"/>
      <c r="O5" s="19" t="inlineStr">
        <is>
          <t>CREA-CELIOS 2024</t>
        </is>
      </c>
    </row>
    <row r="6" ht="26" customHeight="1">
      <c r="A6" s="22" t="n">
        <v>2</v>
      </c>
      <c r="B6" s="19" t="inlineStr">
        <is>
          <t>BAU — Tahun 5</t>
        </is>
      </c>
      <c r="C6" s="22" t="n">
        <v>62800</v>
      </c>
      <c r="D6" s="22" t="n"/>
      <c r="E6" s="22" t="n">
        <v>134200</v>
      </c>
      <c r="F6" s="22" t="n"/>
      <c r="G6" s="22" t="n">
        <v>0</v>
      </c>
      <c r="H6" s="22" t="n">
        <v>5</v>
      </c>
      <c r="I6" s="22" t="n">
        <v>3800</v>
      </c>
      <c r="J6" s="22" t="n">
        <v>2630</v>
      </c>
      <c r="K6" s="22" t="n">
        <v>5600</v>
      </c>
      <c r="L6" s="22" t="n">
        <v>115408</v>
      </c>
      <c r="M6" s="23" t="n">
        <v>28</v>
      </c>
      <c r="N6" s="19" t="inlineStr"/>
      <c r="O6" s="19" t="inlineStr">
        <is>
          <t>CREA-CELIOS 2024</t>
        </is>
      </c>
    </row>
    <row r="7" ht="26" customHeight="1">
      <c r="A7" s="22" t="n">
        <v>3</v>
      </c>
      <c r="B7" s="19" t="inlineStr">
        <is>
          <t>BAU — Tahun 10</t>
        </is>
      </c>
      <c r="C7" s="29" t="n">
        <v>-2100</v>
      </c>
      <c r="D7" s="22" t="n"/>
      <c r="E7" s="29" t="n">
        <v>-7604</v>
      </c>
      <c r="F7" s="22" t="n">
        <v>-387</v>
      </c>
      <c r="G7" s="22" t="n">
        <v>0</v>
      </c>
      <c r="H7" s="22" t="n">
        <v>10</v>
      </c>
      <c r="I7" s="22" t="n">
        <v>3800</v>
      </c>
      <c r="J7" s="22" t="n">
        <v>3420</v>
      </c>
      <c r="K7" s="22" t="n">
        <v>6400</v>
      </c>
      <c r="L7" s="22" t="n">
        <v>26024</v>
      </c>
      <c r="M7" s="23" t="n">
        <v>32</v>
      </c>
      <c r="N7" s="19" t="inlineStr">
        <is>
          <t>Negatif BAU karena degradasi lingkungan</t>
        </is>
      </c>
      <c r="O7" s="19" t="inlineStr">
        <is>
          <t>CREA-CELIOS 2024</t>
        </is>
      </c>
    </row>
    <row r="8" ht="26" customHeight="1">
      <c r="A8" s="22" t="n">
        <v>4</v>
      </c>
      <c r="B8" s="19" t="inlineStr">
        <is>
          <t>BAU — Tahun 15</t>
        </is>
      </c>
      <c r="C8" s="29" t="n">
        <v>-800</v>
      </c>
      <c r="D8" s="22" t="n">
        <v>14710</v>
      </c>
      <c r="E8" s="29" t="n">
        <v>-3832</v>
      </c>
      <c r="F8" s="22" t="n">
        <v>-387</v>
      </c>
      <c r="G8" s="22" t="n">
        <v>0</v>
      </c>
      <c r="H8" s="22" t="n">
        <v>15</v>
      </c>
      <c r="I8" s="22" t="n">
        <v>5000</v>
      </c>
      <c r="J8" s="22" t="n">
        <v>3420</v>
      </c>
      <c r="K8" s="22" t="n">
        <v>7710</v>
      </c>
      <c r="L8" s="22" t="n">
        <v>27932</v>
      </c>
      <c r="M8" s="23" t="n">
        <v>38.55</v>
      </c>
      <c r="N8" s="19" t="inlineStr">
        <is>
          <t>Negatif BAU karena degradasi lingkungan</t>
        </is>
      </c>
      <c r="O8" s="19" t="inlineStr">
        <is>
          <t>CREA-CELIOS 2024</t>
        </is>
      </c>
    </row>
    <row r="9">
      <c r="A9" s="69" t="inlineStr">
        <is>
          <t>BARIS RE+APC — untuk perbandingan langsung &amp; regresi perbedaan skenario</t>
        </is>
      </c>
    </row>
    <row r="10" ht="22" customHeight="1">
      <c r="A10" s="17" t="n">
        <v>1</v>
      </c>
      <c r="B10" s="19" t="inlineStr">
        <is>
          <t>RE+APC — Tahun 1</t>
        </is>
      </c>
      <c r="C10" s="60" t="n">
        <v>21200</v>
      </c>
      <c r="E10" s="60" t="n">
        <v>95300</v>
      </c>
    </row>
    <row r="11" ht="22" customHeight="1">
      <c r="A11" s="17" t="n">
        <v>2</v>
      </c>
      <c r="B11" s="19" t="inlineStr">
        <is>
          <t>RE+APC — Tahun 5</t>
        </is>
      </c>
      <c r="C11" s="60" t="n">
        <v>68400</v>
      </c>
      <c r="E11" s="60" t="n">
        <v>249608</v>
      </c>
    </row>
    <row r="12" ht="22" customHeight="1">
      <c r="A12" s="17" t="n">
        <v>3</v>
      </c>
      <c r="B12" s="19" t="inlineStr">
        <is>
          <t>RE+APC — Tahun 10</t>
        </is>
      </c>
      <c r="C12" s="60" t="n">
        <v>4300</v>
      </c>
      <c r="E12" s="60" t="n">
        <v>18420</v>
      </c>
    </row>
    <row r="13" ht="22" customHeight="1">
      <c r="A13" s="17" t="n">
        <v>4</v>
      </c>
      <c r="B13" s="19" t="inlineStr">
        <is>
          <t>RE+APC — Tahun 15</t>
        </is>
      </c>
      <c r="C13" s="60" t="n">
        <v>6910</v>
      </c>
      <c r="E13" s="60" t="n">
        <v>24100</v>
      </c>
    </row>
  </sheetData>
  <mergeCells count="7">
    <mergeCell ref="K3:O3"/>
    <mergeCell ref="C3:F3"/>
    <mergeCell ref="A2:O2"/>
    <mergeCell ref="G3:J3"/>
    <mergeCell ref="A1:O1"/>
    <mergeCell ref="A9:O9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34" customWidth="1" min="13" max="13"/>
    <col width="14" customWidth="1" min="14" max="14"/>
  </cols>
  <sheetData>
    <row r="1">
      <c r="A1" s="48" t="inlineStr">
        <is>
          <t>MODEL REGRESI 5 — Y: GHG_Intensity vs Bauran Energi | Validasi Hipotesis: RE_Share ↑ → GHG ↓</t>
        </is>
      </c>
    </row>
    <row r="2">
      <c r="A2" s="2" t="inlineStr">
        <is>
          <t>Sumber: IEEFA (2024) | Target WRI-Bappenas: 47.3 GW EBT 2045 → reduksi emisi industri nikel 81% | Hipotesis H1: β_RE &lt; 0 (RE share lebih tinggi → intensitas emisi lebih rendah)</t>
        </is>
      </c>
    </row>
    <row r="3" ht="52" customHeight="1">
      <c r="A3" s="16" t="inlineStr">
        <is>
          <t>No</t>
        </is>
      </c>
      <c r="B3" s="16" t="inlineStr">
        <is>
          <t>Perusahaan</t>
        </is>
      </c>
      <c r="C3" s="16" t="inlineStr">
        <is>
          <t>Y: GHG_Intensity
(tCO₂/tNi)</t>
        </is>
      </c>
      <c r="D3" s="16" t="inlineStr">
        <is>
          <t>X1: RE_Share_2023
(%)</t>
        </is>
      </c>
      <c r="E3" s="16" t="inlineStr">
        <is>
          <t>X2: PLTU_MW</t>
        </is>
      </c>
      <c r="F3" s="16" t="inlineStr">
        <is>
          <t>X3: EBT_MW</t>
        </is>
      </c>
      <c r="G3" s="16" t="inlineStr">
        <is>
          <t>X4: Rasio_Batubara
(PLTU/Total)</t>
        </is>
      </c>
      <c r="H3" s="16" t="inlineStr">
        <is>
          <t>X5: Total_MW</t>
        </is>
      </c>
      <c r="I3" s="16" t="inlineStr">
        <is>
          <t>X6: Target_RE_2028
(%)</t>
        </is>
      </c>
      <c r="J3" s="16" t="inlineStr">
        <is>
          <t>X7: Delta_RE
(Target-Aktual)</t>
        </is>
      </c>
      <c r="K3" s="16" t="inlineStr">
        <is>
          <t>Proyeksi_GHG_2028
(jika target tercapai)</t>
        </is>
      </c>
      <c r="L3" s="16" t="inlineStr">
        <is>
          <t>Reduksi_GHG_jika_RE100
(tCO₂/tNi)</t>
        </is>
      </c>
      <c r="M3" s="16" t="inlineStr">
        <is>
          <t>Catatan Teknologi</t>
        </is>
      </c>
      <c r="N3" s="16" t="inlineStr">
        <is>
          <t>Referensi</t>
        </is>
      </c>
    </row>
    <row r="4" ht="26" customHeight="1">
      <c r="A4" s="22" t="n">
        <v>1</v>
      </c>
      <c r="B4" s="19" t="inlineStr">
        <is>
          <t>Antam</t>
        </is>
      </c>
      <c r="C4" s="25" t="n">
        <v>69.90000000000001</v>
      </c>
      <c r="D4" s="24" t="n">
        <v>0.012</v>
      </c>
      <c r="E4" s="22" t="n">
        <v>60</v>
      </c>
      <c r="F4" s="23" t="n">
        <v>0.7</v>
      </c>
      <c r="G4" s="24" t="n">
        <v>0.988</v>
      </c>
      <c r="H4" s="22" t="n">
        <v>60.7</v>
      </c>
      <c r="I4" s="24" t="n">
        <v>0.3</v>
      </c>
      <c r="J4" s="24" t="n">
        <v>0.288</v>
      </c>
      <c r="K4" s="23" t="n">
        <v>55.8</v>
      </c>
      <c r="L4" s="23" t="n">
        <v>62.2</v>
      </c>
      <c r="M4" s="19" t="inlineStr">
        <is>
          <t>RKEF; PLN gas rencana; batubara dominan</t>
        </is>
      </c>
      <c r="N4" s="19" t="inlineStr">
        <is>
          <t>IEEFA 2024</t>
        </is>
      </c>
    </row>
    <row r="5" ht="26" customHeight="1">
      <c r="A5" s="22" t="n">
        <v>2</v>
      </c>
      <c r="B5" s="19" t="inlineStr">
        <is>
          <t>MBMA</t>
        </is>
      </c>
      <c r="C5" s="31" t="n">
        <v>56.9</v>
      </c>
      <c r="D5" s="24" t="n">
        <v>0.049</v>
      </c>
      <c r="E5" s="22" t="n">
        <v>480</v>
      </c>
      <c r="F5" s="23" t="n">
        <v>23.5</v>
      </c>
      <c r="G5" s="24" t="n">
        <v>0.953</v>
      </c>
      <c r="H5" s="22" t="n">
        <v>503.5</v>
      </c>
      <c r="I5" s="24" t="n">
        <v>0.2</v>
      </c>
      <c r="J5" s="24" t="n">
        <v>0.151</v>
      </c>
      <c r="K5" s="23" t="n">
        <v>50.9</v>
      </c>
      <c r="L5" s="23" t="n">
        <v>48.8</v>
      </c>
      <c r="M5" s="19" t="inlineStr">
        <is>
          <t>RKEF + konversi; rencana solar tanpa kapasitas pasti</t>
        </is>
      </c>
      <c r="N5" s="19" t="inlineStr">
        <is>
          <t>IEEFA 2024</t>
        </is>
      </c>
    </row>
    <row r="6" ht="26" customHeight="1">
      <c r="A6" s="22" t="n">
        <v>3</v>
      </c>
      <c r="B6" s="19" t="inlineStr">
        <is>
          <t>TBP</t>
        </is>
      </c>
      <c r="C6" s="25" t="n">
        <v>68.40000000000001</v>
      </c>
      <c r="D6" s="24" t="n">
        <v>0.053</v>
      </c>
      <c r="E6" s="22" t="n">
        <v>2080</v>
      </c>
      <c r="F6" s="23" t="n">
        <v>110.2</v>
      </c>
      <c r="G6" s="24" t="n">
        <v>0.95</v>
      </c>
      <c r="H6" s="22" t="n">
        <v>2190.2</v>
      </c>
      <c r="I6" s="24" t="n">
        <v>0.4</v>
      </c>
      <c r="J6" s="24" t="n">
        <v>0.347</v>
      </c>
      <c r="K6" s="23" t="n">
        <v>51.8</v>
      </c>
      <c r="L6" s="23" t="n">
        <v>58.5</v>
      </c>
      <c r="M6" s="19" t="inlineStr">
        <is>
          <t>RKEF+HPAL; 300MW PLTS 2025; PLTU terbesar 2080 MW</t>
        </is>
      </c>
      <c r="N6" s="19" t="inlineStr">
        <is>
          <t>IEEFA 2024</t>
        </is>
      </c>
    </row>
    <row r="7" ht="26" customHeight="1">
      <c r="A7" s="22" t="n">
        <v>4</v>
      </c>
      <c r="B7" s="19" t="inlineStr">
        <is>
          <t>Vale</t>
        </is>
      </c>
      <c r="C7" s="50" t="n">
        <v>28.7</v>
      </c>
      <c r="D7" s="24" t="n">
        <v>0.301</v>
      </c>
      <c r="E7" s="22" t="n">
        <v>44</v>
      </c>
      <c r="F7" s="23" t="n">
        <v>365</v>
      </c>
      <c r="G7" s="24" t="n">
        <v>0.108</v>
      </c>
      <c r="H7" s="22" t="n">
        <v>409</v>
      </c>
      <c r="I7" s="24" t="n">
        <v>0.35</v>
      </c>
      <c r="J7" s="24" t="n">
        <v>0</v>
      </c>
      <c r="K7" s="23" t="n">
        <v>28.7</v>
      </c>
      <c r="L7" s="23" t="n">
        <v>2.8</v>
      </c>
      <c r="M7" s="19" t="inlineStr">
        <is>
          <t>365 MW PLTA (3 bendungan); benchmark terbaik; &lt;0 target sudah tercapai</t>
        </is>
      </c>
      <c r="N7" s="19" t="inlineStr">
        <is>
          <t>IEEFA 2024</t>
        </is>
      </c>
    </row>
    <row r="9">
      <c r="A9" s="54" t="inlineStr">
        <is>
          <t>HIPOTESIS PENELITIAN — Regresi Bauran Energi</t>
        </is>
      </c>
    </row>
    <row r="10" ht="28" customHeight="1">
      <c r="A10" s="49" t="inlineStr">
        <is>
          <t>H1</t>
        </is>
      </c>
      <c r="B10" s="52" t="inlineStr">
        <is>
          <t>RE_Share ↑ → GHG_Intensity ↓</t>
        </is>
      </c>
      <c r="C10" s="46" t="n"/>
      <c r="D10" s="47" t="n"/>
      <c r="E10" s="17" t="inlineStr">
        <is>
          <t>β₁ &lt; 0</t>
        </is>
      </c>
      <c r="F10" s="47" t="n"/>
      <c r="G10" s="17" t="inlineStr">
        <is>
          <t>Uji t p&lt;0.05 → H1 diterima</t>
        </is>
      </c>
      <c r="H10" s="47" t="n"/>
      <c r="I10" s="61" t="inlineStr">
        <is>
          <t>Semakin tinggi porsi EBT, emisi per ton nikel semakin rendah (bukti: Vale 30.1% RE → GHG 28.7)</t>
        </is>
      </c>
      <c r="J10" s="46" t="n"/>
      <c r="K10" s="46" t="n"/>
      <c r="L10" s="46" t="n"/>
      <c r="M10" s="46" t="n"/>
      <c r="N10" s="47" t="n"/>
    </row>
    <row r="11" ht="28" customHeight="1">
      <c r="A11" s="49" t="inlineStr">
        <is>
          <t>H2</t>
        </is>
      </c>
      <c r="B11" s="52" t="inlineStr">
        <is>
          <t>Rasio_Batubara ↑ → GHG_Intensity ↑</t>
        </is>
      </c>
      <c r="C11" s="46" t="n"/>
      <c r="D11" s="47" t="n"/>
      <c r="E11" s="17" t="inlineStr">
        <is>
          <t>β₄ &gt; 0</t>
        </is>
      </c>
      <c r="F11" s="47" t="n"/>
      <c r="G11" s="17" t="inlineStr">
        <is>
          <t>Uji t p&lt;0.05 → H2 diterima</t>
        </is>
      </c>
      <c r="H11" s="47" t="n"/>
      <c r="I11" s="61" t="inlineStr">
        <is>
          <t>Smelter yang lebih bergantung PLTU batubara captive memiliki intensitas emisi lebih tinggi</t>
        </is>
      </c>
      <c r="J11" s="46" t="n"/>
      <c r="K11" s="46" t="n"/>
      <c r="L11" s="46" t="n"/>
      <c r="M11" s="46" t="n"/>
      <c r="N11" s="47" t="n"/>
    </row>
    <row r="12" ht="28" customHeight="1">
      <c r="A12" s="49" t="inlineStr">
        <is>
          <t>H3</t>
        </is>
      </c>
      <c r="B12" s="52" t="inlineStr">
        <is>
          <t>Log_Output tidak berpengaruh signifikan vs GHG</t>
        </is>
      </c>
      <c r="C12" s="46" t="n"/>
      <c r="D12" s="47" t="n"/>
      <c r="E12" s="17" t="inlineStr">
        <is>
          <t>β₂ ≈ 0</t>
        </is>
      </c>
      <c r="F12" s="47" t="n"/>
      <c r="G12" s="17" t="inlineStr">
        <is>
          <t>p&gt;0.10 → H3 tidak ditolak</t>
        </is>
      </c>
      <c r="H12" s="47" t="n"/>
      <c r="I12" s="61" t="inlineStr">
        <is>
          <t>Skala produksi tidak menentukan intensitas emisi — teknologi &amp; bauran energi lebih dominan</t>
        </is>
      </c>
      <c r="J12" s="46" t="n"/>
      <c r="K12" s="46" t="n"/>
      <c r="L12" s="46" t="n"/>
      <c r="M12" s="46" t="n"/>
      <c r="N12" s="47" t="n"/>
    </row>
    <row r="13" ht="28" customHeight="1">
      <c r="A13" s="49" t="inlineStr">
        <is>
          <t>H4</t>
        </is>
      </c>
      <c r="B13" s="52" t="inlineStr">
        <is>
          <t>Skenario RE+APC → PDB lebih tinggi jangka panjang</t>
        </is>
      </c>
      <c r="C13" s="46" t="n"/>
      <c r="D13" s="47" t="n"/>
      <c r="E13" s="17" t="inlineStr">
        <is>
          <t>β_skenario &gt; 0</t>
        </is>
      </c>
      <c r="F13" s="47" t="n"/>
      <c r="G13" s="17" t="inlineStr">
        <is>
          <t>DiD estimator signifikan</t>
        </is>
      </c>
      <c r="H13" s="47" t="n"/>
      <c r="I13" s="61" t="inlineStr">
        <is>
          <t>Transisi EBT meningkatkan PDB nasional dan penyerapan TK selama 15 tahun (CREA-CELIOS 2024)</t>
        </is>
      </c>
      <c r="J13" s="46" t="n"/>
      <c r="K13" s="46" t="n"/>
      <c r="L13" s="46" t="n"/>
      <c r="M13" s="46" t="n"/>
      <c r="N13" s="47" t="n"/>
    </row>
  </sheetData>
  <mergeCells count="19">
    <mergeCell ref="A9:N9"/>
    <mergeCell ref="B11:D11"/>
    <mergeCell ref="E12:F12"/>
    <mergeCell ref="G12:H12"/>
    <mergeCell ref="G11:H11"/>
    <mergeCell ref="B13:D13"/>
    <mergeCell ref="I12:N12"/>
    <mergeCell ref="A1:N1"/>
    <mergeCell ref="B10:D10"/>
    <mergeCell ref="E10:F10"/>
    <mergeCell ref="G10:H10"/>
    <mergeCell ref="E13:F13"/>
    <mergeCell ref="G13:H13"/>
    <mergeCell ref="I10:N10"/>
    <mergeCell ref="I13:N13"/>
    <mergeCell ref="A2:N2"/>
    <mergeCell ref="E11:F11"/>
    <mergeCell ref="I11:N11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90" customWidth="1" min="1" max="1"/>
    <col width="55" customWidth="1" min="2" max="2"/>
  </cols>
  <sheetData>
    <row r="1" ht="28" customHeight="1">
      <c r="A1" s="70" t="inlineStr">
        <is>
          <t>PANDUAN PEMODELAN REGRESI — Kode Python (statsmodels) + Interpretasi Output</t>
        </is>
      </c>
    </row>
    <row r="2" ht="16" customHeight="1">
      <c r="A2" s="71" t="inlineStr"/>
      <c r="B2" s="2" t="inlineStr"/>
    </row>
    <row r="3" ht="16" customHeight="1">
      <c r="A3" s="72" t="inlineStr">
        <is>
          <t>STEP 1: IMPORT &amp; LOAD DATA</t>
        </is>
      </c>
      <c r="B3" s="2" t="inlineStr"/>
    </row>
    <row r="4" ht="16" customHeight="1">
      <c r="A4" s="73" t="inlineStr">
        <is>
          <t>import pandas as pd</t>
        </is>
      </c>
      <c r="B4" s="2" t="inlineStr"/>
    </row>
    <row r="5" ht="16" customHeight="1">
      <c r="A5" s="73" t="inlineStr">
        <is>
          <t>import numpy as np</t>
        </is>
      </c>
      <c r="B5" s="2" t="inlineStr"/>
    </row>
    <row r="6" ht="16" customHeight="1">
      <c r="A6" s="73" t="inlineStr">
        <is>
          <t>import statsmodels.api as sm</t>
        </is>
      </c>
      <c r="B6" s="2" t="inlineStr"/>
    </row>
    <row r="7" ht="16" customHeight="1">
      <c r="A7" s="73" t="inlineStr">
        <is>
          <t>from statsmodels.stats.outliers_influence import variance_inflation_factor</t>
        </is>
      </c>
      <c r="B7" s="2" t="inlineStr"/>
    </row>
    <row r="8" ht="16" customHeight="1">
      <c r="A8" s="71" t="inlineStr"/>
      <c r="B8" s="2" t="inlineStr"/>
    </row>
    <row r="9" ht="16" customHeight="1">
      <c r="A9" s="73" t="inlineStr">
        <is>
          <t>df = pd.read_excel('MASTER_REGRESI_NIKEL.xlsx', sheet_name='MASTER_REGRESI', skiprows=2)</t>
        </is>
      </c>
      <c r="B9" s="2" t="inlineStr"/>
    </row>
    <row r="10" ht="16" customHeight="1">
      <c r="A10" s="71" t="inlineStr"/>
      <c r="B10" s="2" t="inlineStr"/>
    </row>
    <row r="11" ht="16" customHeight="1">
      <c r="A11" s="72" t="inlineStr">
        <is>
          <t>STEP 2: MODEL 1 — GHG_Intensity vs Variabel Teknis</t>
        </is>
      </c>
      <c r="B11" s="2" t="inlineStr"/>
    </row>
    <row r="12" ht="16" customHeight="1">
      <c r="A12" s="73" t="inlineStr">
        <is>
          <t>X = df[['Teknologi_Enc','Log_Output_2023','RE_Share_2023_pct','Rasio_Batubara','Output_per_MW']]</t>
        </is>
      </c>
      <c r="B12" s="2" t="inlineStr"/>
    </row>
    <row r="13" ht="16" customHeight="1">
      <c r="A13" s="73" t="inlineStr">
        <is>
          <t>y = df['GHG_Intensity_2023_tCO2perNi']</t>
        </is>
      </c>
      <c r="B13" s="2" t="inlineStr"/>
    </row>
    <row r="14" ht="16" customHeight="1">
      <c r="A14" s="73" t="inlineStr">
        <is>
          <t>X = sm.add_constant(X)</t>
        </is>
      </c>
      <c r="B14" s="2" t="inlineStr"/>
    </row>
    <row r="15" ht="16" customHeight="1">
      <c r="A15" s="73" t="inlineStr">
        <is>
          <t>model1 = sm.OLS(y, X).fit()</t>
        </is>
      </c>
      <c r="B15" s="2" t="inlineStr"/>
    </row>
    <row r="16" ht="16" customHeight="1">
      <c r="A16" s="73" t="inlineStr">
        <is>
          <t>print(model1.summary())</t>
        </is>
      </c>
      <c r="B16" s="2" t="inlineStr">
        <is>
          <t>Perhatikan: R², F-stat, p-value tiap koefisien, koefisien arah</t>
        </is>
      </c>
    </row>
    <row r="17" ht="16" customHeight="1">
      <c r="A17" s="71" t="inlineStr"/>
      <c r="B17" s="2" t="inlineStr"/>
    </row>
    <row r="18" ht="16" customHeight="1">
      <c r="A18" s="72" t="inlineStr">
        <is>
          <t>STEP 3: UJI ASUMSI</t>
        </is>
      </c>
      <c r="B18" s="2" t="inlineStr"/>
    </row>
    <row r="19" ht="16" customHeight="1">
      <c r="A19" s="74" t="inlineStr">
        <is>
          <t># Uji multikolinearitas (VIF &lt; 10 = aman)</t>
        </is>
      </c>
      <c r="B19" s="2" t="inlineStr"/>
    </row>
    <row r="20" ht="16" customHeight="1">
      <c r="A20" s="73" t="inlineStr">
        <is>
          <t>vif_data = pd.DataFrame()</t>
        </is>
      </c>
      <c r="B20" s="2" t="inlineStr"/>
    </row>
    <row r="21" ht="16" customHeight="1">
      <c r="A21" s="73" t="inlineStr">
        <is>
          <t>vif_data['feature'] = X.columns</t>
        </is>
      </c>
      <c r="B21" s="2" t="inlineStr"/>
    </row>
    <row r="22" ht="16" customHeight="1">
      <c r="A22" s="73" t="inlineStr">
        <is>
          <t>vif_data['VIF'] = [variance_inflation_factor(X.values, i) for i in range(len(X.columns))]</t>
        </is>
      </c>
      <c r="B22" s="2" t="inlineStr"/>
    </row>
    <row r="23" ht="16" customHeight="1">
      <c r="A23" s="73" t="inlineStr">
        <is>
          <t>print(vif_data)</t>
        </is>
      </c>
      <c r="B23" s="2" t="inlineStr">
        <is>
          <t>VIF &gt; 10: ada multikolinearitas — drop salah satu variabel</t>
        </is>
      </c>
    </row>
    <row r="24" ht="16" customHeight="1">
      <c r="A24" s="71" t="inlineStr"/>
      <c r="B24" s="2" t="inlineStr"/>
    </row>
    <row r="25" ht="16" customHeight="1">
      <c r="A25" s="74" t="inlineStr">
        <is>
          <t># Uji normalitas residual (Jarque-Bera)</t>
        </is>
      </c>
      <c r="B25" s="2" t="inlineStr"/>
    </row>
    <row r="26" ht="16" customHeight="1">
      <c r="A26" s="73" t="inlineStr">
        <is>
          <t>from scipy import stats</t>
        </is>
      </c>
      <c r="B26" s="2" t="inlineStr"/>
    </row>
    <row r="27" ht="16" customHeight="1">
      <c r="A27" s="73" t="inlineStr">
        <is>
          <t>stat_jb, p_jb = stats.jarque_bera(model1.resid)</t>
        </is>
      </c>
      <c r="B27" s="2" t="inlineStr"/>
    </row>
    <row r="28" ht="16" customHeight="1">
      <c r="A28" s="73" t="inlineStr">
        <is>
          <t>print(f'JB={stat_jb:.3f}, p={p_jb:.3f}')</t>
        </is>
      </c>
      <c r="B28" s="2" t="inlineStr">
        <is>
          <t>p &gt; 0.05 -&gt; residual normal -&gt; asumsi OLS terpenuhi</t>
        </is>
      </c>
    </row>
    <row r="29" ht="16" customHeight="1">
      <c r="A29" s="71" t="inlineStr"/>
      <c r="B29" s="2" t="inlineStr"/>
    </row>
    <row r="30" ht="16" customHeight="1">
      <c r="A30" s="72" t="inlineStr">
        <is>
          <t>STEP 4: MODEL 2 — Panel Regresi Proyeksi (long format)</t>
        </is>
      </c>
      <c r="B30" s="2" t="inlineStr"/>
    </row>
    <row r="31" ht="16" customHeight="1">
      <c r="A31" s="73" t="inlineStr">
        <is>
          <t>df_long = pd.read_excel('...', sheet_name='REGRESI_PROYEKSI', skiprows=15)</t>
        </is>
      </c>
      <c r="B31" s="2" t="inlineStr"/>
    </row>
    <row r="32" ht="16" customHeight="1">
      <c r="A32" s="73" t="inlineStr">
        <is>
          <t>X2 = df_long[['t_linear','t_kuadrat','D_JETP','D_NZE']]</t>
        </is>
      </c>
      <c r="B32" s="2" t="inlineStr"/>
    </row>
    <row r="33" ht="16" customHeight="1">
      <c r="A33" s="73" t="inlineStr">
        <is>
          <t>y2 = df_long['Emisi_MtCO2']</t>
        </is>
      </c>
      <c r="B33" s="2" t="inlineStr"/>
    </row>
    <row r="34" ht="16" customHeight="1">
      <c r="A34" s="73" t="inlineStr">
        <is>
          <t>model2 = sm.OLS(y2, sm.add_constant(X2)).fit()</t>
        </is>
      </c>
      <c r="B34" s="2" t="inlineStr"/>
    </row>
    <row r="35" ht="16" customHeight="1">
      <c r="A35" s="73" t="inlineStr">
        <is>
          <t>print(model2.summary())</t>
        </is>
      </c>
      <c r="B35" s="2" t="inlineStr"/>
    </row>
    <row r="36" ht="16" customHeight="1">
      <c r="A36" s="71" t="inlineStr"/>
      <c r="B36" s="2" t="inlineStr"/>
    </row>
    <row r="37" ht="16" customHeight="1">
      <c r="A37" s="72" t="inlineStr">
        <is>
          <t>STEP 5: MODEL 3 — DSS Skor (Ordinal Logistic)</t>
        </is>
      </c>
      <c r="B37" s="2" t="inlineStr"/>
    </row>
    <row r="38" ht="16" customHeight="1">
      <c r="A38" s="73" t="inlineStr">
        <is>
          <t>from statsmodels.miscmodels.ordinal_model import OrderedModel</t>
        </is>
      </c>
      <c r="B38" s="2" t="inlineStr"/>
    </row>
    <row r="39" ht="16" customHeight="1">
      <c r="A39" s="73" t="inlineStr">
        <is>
          <t>df_strat = pd.read_excel('...', sheet_name='REGRESI_STRATEGI', skiprows=2)</t>
        </is>
      </c>
      <c r="B39" s="2" t="inlineStr"/>
    </row>
    <row r="40" ht="16" customHeight="1">
      <c r="A40" s="73" t="inlineStr">
        <is>
          <t>mod_ord = OrderedModel(df_strat['Prioritas'], df_strat[['Reduksi_Pct','CAPEX','Payback']], distr='logit')</t>
        </is>
      </c>
      <c r="B40" s="2" t="inlineStr"/>
    </row>
    <row r="41" ht="16" customHeight="1">
      <c r="A41" s="73" t="inlineStr">
        <is>
          <t>res_ord = mod_ord.fit(method='bfgs')</t>
        </is>
      </c>
      <c r="B41" s="2" t="inlineStr"/>
    </row>
    <row r="42" ht="16" customHeight="1">
      <c r="A42" s="73" t="inlineStr">
        <is>
          <t>print(res_ord.summary())</t>
        </is>
      </c>
      <c r="B42" s="2" t="inlineStr">
        <is>
          <t>Ordinal logistic regression untuk variabel dependen ordinal prioritas 1/2/3</t>
        </is>
      </c>
    </row>
    <row r="43" ht="16" customHeight="1">
      <c r="A43" s="71" t="inlineStr"/>
      <c r="B43" s="2" t="inlineStr"/>
    </row>
    <row r="44" ht="16" customHeight="1">
      <c r="A44" s="72" t="inlineStr">
        <is>
          <t>STEP 6: INTERPRETASI KOEFISIEN</t>
        </is>
      </c>
      <c r="B44" s="2" t="inlineStr"/>
    </row>
    <row r="45" ht="16" customHeight="1">
      <c r="A45" s="74" t="inlineStr">
        <is>
          <t># beta positif -&gt; X naik 1 unit -&gt; Y naik sebesar beta</t>
        </is>
      </c>
      <c r="B45" s="2" t="inlineStr"/>
    </row>
    <row r="46" ht="16" customHeight="1">
      <c r="A46" s="74" t="inlineStr">
        <is>
          <t># beta negatif -&gt; hubungan terbalik (harapan: RE_Share negatif vs GHG)</t>
        </is>
      </c>
      <c r="B46" s="2" t="inlineStr"/>
    </row>
    <row r="47" ht="16" customHeight="1">
      <c r="A47" s="74" t="inlineStr">
        <is>
          <t># R2 mendekati 1 -&gt; model menjelaskan variasi Y dengan baik</t>
        </is>
      </c>
      <c r="B47" s="2" t="inlineStr"/>
    </row>
    <row r="48" ht="16" customHeight="1">
      <c r="A48" s="74" t="inlineStr">
        <is>
          <t># p &lt; 0.05 -&gt; koefisien signifikan secara statistik</t>
        </is>
      </c>
      <c r="B48" s="2" t="inlineStr"/>
    </row>
    <row r="49" ht="16" customHeight="1">
      <c r="A49" s="74" t="inlineStr">
        <is>
          <t># RMSE -&gt; rata-rata kesalahan prediksi (satuan: tCO2/tNi)</t>
        </is>
      </c>
      <c r="B49" s="2" t="inlineStr"/>
    </row>
    <row r="50" ht="16" customHeight="1">
      <c r="A50" s="71" t="inlineStr"/>
      <c r="B50" s="2" t="inlineStr"/>
    </row>
    <row r="51" ht="16" customHeight="1">
      <c r="A51" s="72" t="inlineStr">
        <is>
          <t>CATATAN PENTING</t>
        </is>
      </c>
      <c r="B51" s="2" t="inlineStr">
        <is>
          <t>Sampel n=4 (perusahaan listed) terlalu kecil untuk OLS andal. Solusi: (1) Gabungkan data CGS 87 smelter, (2) Panel data multi-tahun 2020-2024, (3) Bootstrap resampling, (4) Ridge/Lasso untuk n kecil.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2026-05-19T02:45:25Z</dcterms:created>
  <dcterms:modified xmlns:dcterms="http://purl.org/dc/terms/" xmlns:xsi="http://www.w3.org/2001/XMLSchema-instance" xsi:type="dcterms:W3CDTF">2026-05-19T02:49:55Z</dcterms:modified>
</cp:coreProperties>
</file>